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d_Tests_Tariffs" sheetId="1" state="visible" r:id="rId1"/>
    <sheet xmlns:r="http://schemas.openxmlformats.org/officeDocument/2006/relationships" name="B2B_Cost_Reference" sheetId="2" state="visible" r:id="rId2"/>
    <sheet xmlns:r="http://schemas.openxmlformats.org/officeDocument/2006/relationships" name="Complete_Test_Panels" sheetId="3" state="visible" r:id="rId3"/>
    <sheet xmlns:r="http://schemas.openxmlformats.org/officeDocument/2006/relationships" name="Charkhi_Dadri_Area_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02A43"/>
      <sz val="14"/>
    </font>
    <font>
      <name val="Segoe UI"/>
      <i val="1"/>
      <color rgb="00486581"/>
      <sz val="10"/>
    </font>
    <font>
      <name val="Segoe UI"/>
      <b val="1"/>
      <color rgb="00FFFFFF"/>
      <sz val="10"/>
    </font>
    <font>
      <name val="Segoe UI"/>
      <color rgb="001D1D1F"/>
      <sz val="10"/>
    </font>
    <font>
      <name val="Segoe UI"/>
      <b val="1"/>
      <color rgb="00059669"/>
      <sz val="10"/>
    </font>
  </fonts>
  <fills count="8">
    <fill>
      <patternFill/>
    </fill>
    <fill>
      <patternFill patternType="gray125"/>
    </fill>
    <fill>
      <patternFill patternType="solid">
        <fgColor rgb="00102A43"/>
        <bgColor rgb="00102A43"/>
      </patternFill>
    </fill>
    <fill>
      <patternFill patternType="solid">
        <fgColor rgb="00F8FAFC"/>
        <bgColor rgb="00F8FAFC"/>
      </patternFill>
    </fill>
    <fill>
      <patternFill patternType="solid">
        <fgColor rgb="00155E9A"/>
        <bgColor rgb="00155E9A"/>
      </patternFill>
    </fill>
    <fill>
      <patternFill patternType="solid">
        <fgColor rgb="000A6C82"/>
        <bgColor rgb="000A6C82"/>
      </patternFill>
    </fill>
    <fill>
      <patternFill patternType="solid">
        <fgColor rgb="00059669"/>
        <bgColor rgb="0005966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A1128"/>
      </top>
      <bottom style="medium">
        <color rgb="000A1128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5" customWidth="1" min="3" max="3"/>
    <col width="28" customWidth="1" min="4" max="4"/>
    <col width="30" customWidth="1" min="5" max="5"/>
    <col width="24" customWidth="1" min="6" max="6"/>
    <col width="28" customWidth="1" min="7" max="7"/>
    <col width="28" customWidth="1" min="8" max="8"/>
    <col width="36" customWidth="1" min="9" max="9"/>
    <col width="33" customWidth="1" min="10" max="10"/>
    <col width="36" customWidth="1" min="11" max="11"/>
    <col width="56" customWidth="1" min="12" max="12"/>
  </cols>
  <sheetData>
    <row r="1" ht="24" customHeight="1">
      <c r="A1" s="1" t="inlineStr">
        <is>
          <t>SAWARIYA DIAGNOSTIC LAB — CHARKHI DADRI (HARYANA)</t>
        </is>
      </c>
    </row>
    <row r="2" ht="18" customHeight="1">
      <c r="A2" s="2" t="inlineStr">
        <is>
          <t>Official Tariff Master &amp; Patient Discount Adjustment Calculator (Opp. R.S. Sangwan Hospital, Loharu Road)</t>
        </is>
      </c>
    </row>
    <row r="3"/>
    <row r="4" ht="28" customHeight="1">
      <c r="A4" s="3" t="inlineStr">
        <is>
          <t>Test Code</t>
        </is>
      </c>
      <c r="B4" s="3" t="inlineStr">
        <is>
          <t>Test Name</t>
        </is>
      </c>
      <c r="C4" s="3" t="inlineStr">
        <is>
          <t>Department</t>
        </is>
      </c>
      <c r="D4" s="3" t="inlineStr">
        <is>
          <t>Current Patient Rate (₹)</t>
        </is>
      </c>
      <c r="E4" s="3" t="inlineStr">
        <is>
          <t>Standard Reference MRP (₹)</t>
        </is>
      </c>
      <c r="F4" s="3" t="inlineStr">
        <is>
          <t>Current Discount (%)</t>
        </is>
      </c>
      <c r="G4" s="3" t="inlineStr">
        <is>
          <t>Matched B2B Net Cost (₹)</t>
        </is>
      </c>
      <c r="H4" s="3" t="inlineStr">
        <is>
          <t>Estimated Lab Margin (₹)</t>
        </is>
      </c>
      <c r="I4" s="3" t="inlineStr">
        <is>
          <t>New Proposed Rate (₹) [EDITABLE]</t>
        </is>
      </c>
      <c r="J4" s="3" t="inlineStr">
        <is>
          <t>New Discount (%) [CALCULATED]</t>
        </is>
      </c>
      <c r="K4" s="3" t="inlineStr">
        <is>
          <t>Margin over B2B (₹) [CALCULATED]</t>
        </is>
      </c>
      <c r="L4" s="3" t="inlineStr">
        <is>
          <t>Local Charkhi Dadri Pricing Strategy &amp; Reagent Note</t>
        </is>
      </c>
    </row>
    <row r="5" ht="20" customHeight="1">
      <c r="A5" s="4" t="inlineStr">
        <is>
          <t>web-001</t>
        </is>
      </c>
      <c r="B5" s="4" t="inlineStr">
        <is>
          <t>Complete Blood Count (CBC)</t>
        </is>
      </c>
      <c r="C5" s="4" t="inlineStr">
        <is>
          <t>specialized</t>
        </is>
      </c>
      <c r="D5" s="5" t="n">
        <v>350</v>
      </c>
      <c r="E5" s="5" t="n">
        <v>350</v>
      </c>
      <c r="F5" s="5" t="n">
        <v>0</v>
      </c>
      <c r="G5" s="5" t="n">
        <v>500</v>
      </c>
      <c r="H5" s="6">
        <f>D5-G5</f>
        <v/>
      </c>
      <c r="I5" s="7" t="n">
        <v>350</v>
      </c>
      <c r="J5" s="6">
        <f>IF(I5&gt;0, ROUND((1-(I5/E5))*100, 1), F5)</f>
        <v/>
      </c>
      <c r="K5" s="6">
        <f>IF(AND(I5&gt;0, ISNUMBER(G5)), I5-G5, IF(I5&gt;0, I5*0.6, H5))</f>
        <v/>
      </c>
      <c r="L5" s="4" t="inlineStr">
        <is>
          <t>Specialized CLIA / partner outsourced parameter</t>
        </is>
      </c>
    </row>
    <row r="6" ht="20" customHeight="1">
      <c r="A6" s="8" t="inlineStr">
        <is>
          <t>web-002</t>
        </is>
      </c>
      <c r="B6" s="8" t="inlineStr">
        <is>
          <t>Hemoglobin (Hb) Blood Test</t>
        </is>
      </c>
      <c r="C6" s="8" t="inlineStr">
        <is>
          <t>specialized</t>
        </is>
      </c>
      <c r="D6" s="9" t="n">
        <v>100</v>
      </c>
      <c r="E6" s="9" t="n">
        <v>100</v>
      </c>
      <c r="F6" s="9" t="n">
        <v>0</v>
      </c>
      <c r="G6" s="9" t="n">
        <v>500</v>
      </c>
      <c r="H6" s="10">
        <f>D6-G6</f>
        <v/>
      </c>
      <c r="I6" s="7" t="n">
        <v>100</v>
      </c>
      <c r="J6" s="10">
        <f>IF(I6&gt;0, ROUND((1-(I6/E6))*100, 1), F6)</f>
        <v/>
      </c>
      <c r="K6" s="10">
        <f>IF(AND(I6&gt;0, ISNUMBER(G6)), I6-G6, IF(I6&gt;0, I6*0.6, H6))</f>
        <v/>
      </c>
      <c r="L6" s="8" t="inlineStr">
        <is>
          <t>Routine in-house analyzer; low reagent marginal cost</t>
        </is>
      </c>
    </row>
    <row r="7" ht="20" customHeight="1">
      <c r="A7" s="4" t="inlineStr">
        <is>
          <t>web-003</t>
        </is>
      </c>
      <c r="B7" s="4" t="inlineStr">
        <is>
          <t>Platelet Count Test</t>
        </is>
      </c>
      <c r="C7" s="4" t="inlineStr">
        <is>
          <t>specialized</t>
        </is>
      </c>
      <c r="D7" s="5" t="n">
        <v>120</v>
      </c>
      <c r="E7" s="5" t="n">
        <v>120</v>
      </c>
      <c r="F7" s="5" t="n">
        <v>0</v>
      </c>
      <c r="G7" s="4" t="inlineStr"/>
      <c r="H7" s="6">
        <f>D7*0.6</f>
        <v/>
      </c>
      <c r="I7" s="7" t="n">
        <v>120</v>
      </c>
      <c r="J7" s="6">
        <f>IF(I7&gt;0, ROUND((1-(I7/E7))*100, 1), F7)</f>
        <v/>
      </c>
      <c r="K7" s="6">
        <f>IF(AND(I7&gt;0, ISNUMBER(G7)), I7-G7, IF(I7&gt;0, I7*0.6, H7))</f>
        <v/>
      </c>
      <c r="L7" s="4" t="inlineStr">
        <is>
          <t>Routine in-house analyzer; low reagent marginal cost</t>
        </is>
      </c>
    </row>
    <row r="8" ht="20" customHeight="1">
      <c r="A8" s="8" t="inlineStr">
        <is>
          <t>web-004</t>
        </is>
      </c>
      <c r="B8" s="8" t="inlineStr">
        <is>
          <t>Absolute Eosinophil Count (AEC)</t>
        </is>
      </c>
      <c r="C8" s="8" t="inlineStr">
        <is>
          <t>specialized</t>
        </is>
      </c>
      <c r="D8" s="9" t="n">
        <v>150</v>
      </c>
      <c r="E8" s="9" t="n">
        <v>150</v>
      </c>
      <c r="F8" s="9" t="n">
        <v>0</v>
      </c>
      <c r="G8" s="8" t="inlineStr"/>
      <c r="H8" s="10">
        <f>D8*0.6</f>
        <v/>
      </c>
      <c r="I8" s="7" t="n">
        <v>150</v>
      </c>
      <c r="J8" s="10">
        <f>IF(I8&gt;0, ROUND((1-(I8/E8))*100, 1), F8)</f>
        <v/>
      </c>
      <c r="K8" s="10">
        <f>IF(AND(I8&gt;0, ISNUMBER(G8)), I8-G8, IF(I8&gt;0, I8*0.6, H8))</f>
        <v/>
      </c>
      <c r="L8" s="8" t="inlineStr">
        <is>
          <t>Routine in-house analyzer; low reagent marginal cost</t>
        </is>
      </c>
    </row>
    <row r="9" ht="20" customHeight="1">
      <c r="A9" s="4" t="inlineStr">
        <is>
          <t>web-005</t>
        </is>
      </c>
      <c r="B9" s="4" t="inlineStr">
        <is>
          <t>RBC Count (Red Blood Cells)</t>
        </is>
      </c>
      <c r="C9" s="4" t="inlineStr">
        <is>
          <t>specialized</t>
        </is>
      </c>
      <c r="D9" s="5" t="n">
        <v>120</v>
      </c>
      <c r="E9" s="5" t="n">
        <v>120</v>
      </c>
      <c r="F9" s="5" t="n">
        <v>0</v>
      </c>
      <c r="G9" s="5" t="n">
        <v>500</v>
      </c>
      <c r="H9" s="6">
        <f>D9-G9</f>
        <v/>
      </c>
      <c r="I9" s="7" t="n">
        <v>120</v>
      </c>
      <c r="J9" s="6">
        <f>IF(I9&gt;0, ROUND((1-(I9/E9))*100, 1), F9)</f>
        <v/>
      </c>
      <c r="K9" s="6">
        <f>IF(AND(I9&gt;0, ISNUMBER(G9)), I9-G9, IF(I9&gt;0, I9*0.6, H9))</f>
        <v/>
      </c>
      <c r="L9" s="4" t="inlineStr">
        <is>
          <t>Routine in-house analyzer; low reagent marginal cost</t>
        </is>
      </c>
    </row>
    <row r="10" ht="20" customHeight="1">
      <c r="A10" s="8" t="inlineStr">
        <is>
          <t>web-006</t>
        </is>
      </c>
      <c r="B10" s="8" t="inlineStr">
        <is>
          <t>Total Leukocyte Count (TLC / WBC)</t>
        </is>
      </c>
      <c r="C10" s="8" t="inlineStr">
        <is>
          <t>specialized</t>
        </is>
      </c>
      <c r="D10" s="9" t="n">
        <v>120</v>
      </c>
      <c r="E10" s="9" t="n">
        <v>120</v>
      </c>
      <c r="F10" s="9" t="n">
        <v>0</v>
      </c>
      <c r="G10" s="8" t="inlineStr"/>
      <c r="H10" s="10">
        <f>D10*0.6</f>
        <v/>
      </c>
      <c r="I10" s="7" t="n">
        <v>120</v>
      </c>
      <c r="J10" s="10">
        <f>IF(I10&gt;0, ROUND((1-(I10/E10))*100, 1), F10)</f>
        <v/>
      </c>
      <c r="K10" s="10">
        <f>IF(AND(I10&gt;0, ISNUMBER(G10)), I10-G10, IF(I10&gt;0, I10*0.6, H10))</f>
        <v/>
      </c>
      <c r="L10" s="8" t="inlineStr">
        <is>
          <t>Routine in-house analyzer; low reagent marginal cost</t>
        </is>
      </c>
    </row>
    <row r="11" ht="20" customHeight="1">
      <c r="A11" s="4" t="inlineStr">
        <is>
          <t>web-007</t>
        </is>
      </c>
      <c r="B11" s="4" t="inlineStr">
        <is>
          <t>ESR Blood Test</t>
        </is>
      </c>
      <c r="C11" s="4" t="inlineStr">
        <is>
          <t>specialized</t>
        </is>
      </c>
      <c r="D11" s="5" t="n">
        <v>100</v>
      </c>
      <c r="E11" s="5" t="n">
        <v>100</v>
      </c>
      <c r="F11" s="5" t="n">
        <v>0</v>
      </c>
      <c r="G11" s="5" t="n">
        <v>500</v>
      </c>
      <c r="H11" s="6">
        <f>D11-G11</f>
        <v/>
      </c>
      <c r="I11" s="7" t="n">
        <v>100</v>
      </c>
      <c r="J11" s="6">
        <f>IF(I11&gt;0, ROUND((1-(I11/E11))*100, 1), F11)</f>
        <v/>
      </c>
      <c r="K11" s="6">
        <f>IF(AND(I11&gt;0, ISNUMBER(G11)), I11-G11, IF(I11&gt;0, I11*0.6, H11))</f>
        <v/>
      </c>
      <c r="L11" s="4" t="inlineStr">
        <is>
          <t>Routine in-house analyzer; low reagent marginal cost</t>
        </is>
      </c>
    </row>
    <row r="12" ht="20" customHeight="1">
      <c r="A12" s="8" t="inlineStr">
        <is>
          <t>web-008</t>
        </is>
      </c>
      <c r="B12" s="8" t="inlineStr">
        <is>
          <t>Blood Group &amp; Rh Type</t>
        </is>
      </c>
      <c r="C12" s="8" t="inlineStr">
        <is>
          <t>specialized</t>
        </is>
      </c>
      <c r="D12" s="9" t="n">
        <v>120</v>
      </c>
      <c r="E12" s="9" t="n">
        <v>120</v>
      </c>
      <c r="F12" s="9" t="n">
        <v>0</v>
      </c>
      <c r="G12" s="9" t="n">
        <v>500</v>
      </c>
      <c r="H12" s="10">
        <f>D12-G12</f>
        <v/>
      </c>
      <c r="I12" s="7" t="n">
        <v>120</v>
      </c>
      <c r="J12" s="10">
        <f>IF(I12&gt;0, ROUND((1-(I12/E12))*100, 1), F12)</f>
        <v/>
      </c>
      <c r="K12" s="10">
        <f>IF(AND(I12&gt;0, ISNUMBER(G12)), I12-G12, IF(I12&gt;0, I12*0.6, H12))</f>
        <v/>
      </c>
      <c r="L12" s="8" t="inlineStr">
        <is>
          <t>Routine in-house analyzer; low reagent marginal cost</t>
        </is>
      </c>
    </row>
    <row r="13" ht="20" customHeight="1">
      <c r="A13" s="4" t="inlineStr">
        <is>
          <t>web-009</t>
        </is>
      </c>
      <c r="B13" s="4" t="inlineStr">
        <is>
          <t>Prothrombin Time (PT / INR)</t>
        </is>
      </c>
      <c r="C13" s="4" t="inlineStr">
        <is>
          <t>specialized</t>
        </is>
      </c>
      <c r="D13" s="5" t="n">
        <v>250</v>
      </c>
      <c r="E13" s="5" t="n">
        <v>250</v>
      </c>
      <c r="F13" s="5" t="n">
        <v>0</v>
      </c>
      <c r="G13" s="5" t="n">
        <v>150</v>
      </c>
      <c r="H13" s="6">
        <f>D13-G13</f>
        <v/>
      </c>
      <c r="I13" s="7" t="n">
        <v>250</v>
      </c>
      <c r="J13" s="6">
        <f>IF(I13&gt;0, ROUND((1-(I13/E13))*100, 1), F13)</f>
        <v/>
      </c>
      <c r="K13" s="6">
        <f>IF(AND(I13&gt;0, ISNUMBER(G13)), I13-G13, IF(I13&gt;0, I13*0.6, H13))</f>
        <v/>
      </c>
      <c r="L13" s="4" t="inlineStr">
        <is>
          <t>Routine in-house analyzer; low reagent marginal cost</t>
        </is>
      </c>
    </row>
    <row r="14" ht="20" customHeight="1">
      <c r="A14" s="8" t="inlineStr">
        <is>
          <t>web-010</t>
        </is>
      </c>
      <c r="B14" s="8" t="inlineStr">
        <is>
          <t>APTT Coagulation Test</t>
        </is>
      </c>
      <c r="C14" s="8" t="inlineStr">
        <is>
          <t>specialized</t>
        </is>
      </c>
      <c r="D14" s="9" t="n">
        <v>500</v>
      </c>
      <c r="E14" s="9" t="n">
        <v>500</v>
      </c>
      <c r="F14" s="9" t="n">
        <v>0</v>
      </c>
      <c r="G14" s="8" t="inlineStr"/>
      <c r="H14" s="10">
        <f>D14*0.6</f>
        <v/>
      </c>
      <c r="I14" s="7" t="n">
        <v>500</v>
      </c>
      <c r="J14" s="10">
        <f>IF(I14&gt;0, ROUND((1-(I14/E14))*100, 1), F14)</f>
        <v/>
      </c>
      <c r="K14" s="10">
        <f>IF(AND(I14&gt;0, ISNUMBER(G14)), I14-G14, IF(I14&gt;0, I14*0.6, H14))</f>
        <v/>
      </c>
      <c r="L14" s="8" t="inlineStr">
        <is>
          <t>Specialized CLIA / partner outsourced parameter</t>
        </is>
      </c>
    </row>
    <row r="15" ht="20" customHeight="1">
      <c r="A15" s="4" t="inlineStr">
        <is>
          <t>web-011</t>
        </is>
      </c>
      <c r="B15" s="4" t="inlineStr">
        <is>
          <t>Bleeding &amp; Clotting Time (BT / CT)</t>
        </is>
      </c>
      <c r="C15" s="4" t="inlineStr">
        <is>
          <t>specialized</t>
        </is>
      </c>
      <c r="D15" s="5" t="n">
        <v>150</v>
      </c>
      <c r="E15" s="5" t="n">
        <v>150</v>
      </c>
      <c r="F15" s="5" t="n">
        <v>0</v>
      </c>
      <c r="G15" s="4" t="inlineStr"/>
      <c r="H15" s="6">
        <f>D15*0.6</f>
        <v/>
      </c>
      <c r="I15" s="7" t="n">
        <v>150</v>
      </c>
      <c r="J15" s="6">
        <f>IF(I15&gt;0, ROUND((1-(I15/E15))*100, 1), F15)</f>
        <v/>
      </c>
      <c r="K15" s="6">
        <f>IF(AND(I15&gt;0, ISNUMBER(G15)), I15-G15, IF(I15&gt;0, I15*0.6, H15))</f>
        <v/>
      </c>
      <c r="L15" s="4" t="inlineStr">
        <is>
          <t>Routine in-house analyzer; low reagent marginal cost</t>
        </is>
      </c>
    </row>
    <row r="16" ht="20" customHeight="1">
      <c r="A16" s="8" t="inlineStr">
        <is>
          <t>web-012</t>
        </is>
      </c>
      <c r="B16" s="8" t="inlineStr">
        <is>
          <t>Total Bilirubin (Jaundice Test)</t>
        </is>
      </c>
      <c r="C16" s="8" t="inlineStr">
        <is>
          <t>specialized</t>
        </is>
      </c>
      <c r="D16" s="9" t="n">
        <v>150</v>
      </c>
      <c r="E16" s="9" t="n">
        <v>150</v>
      </c>
      <c r="F16" s="9" t="n">
        <v>0</v>
      </c>
      <c r="G16" s="8" t="inlineStr"/>
      <c r="H16" s="10">
        <f>D16*0.6</f>
        <v/>
      </c>
      <c r="I16" s="7" t="n">
        <v>150</v>
      </c>
      <c r="J16" s="10">
        <f>IF(I16&gt;0, ROUND((1-(I16/E16))*100, 1), F16)</f>
        <v/>
      </c>
      <c r="K16" s="10">
        <f>IF(AND(I16&gt;0, ISNUMBER(G16)), I16-G16, IF(I16&gt;0, I16*0.6, H16))</f>
        <v/>
      </c>
      <c r="L16" s="8" t="inlineStr">
        <is>
          <t>Routine in-house analyzer; low reagent marginal cost</t>
        </is>
      </c>
    </row>
    <row r="17" ht="20" customHeight="1">
      <c r="A17" s="4" t="inlineStr">
        <is>
          <t>web-013</t>
        </is>
      </c>
      <c r="B17" s="4" t="inlineStr">
        <is>
          <t>Direct Bilirubin</t>
        </is>
      </c>
      <c r="C17" s="4" t="inlineStr">
        <is>
          <t>specialized</t>
        </is>
      </c>
      <c r="D17" s="5" t="n">
        <v>150</v>
      </c>
      <c r="E17" s="5" t="n">
        <v>150</v>
      </c>
      <c r="F17" s="5" t="n">
        <v>0</v>
      </c>
      <c r="G17" s="4" t="inlineStr"/>
      <c r="H17" s="6">
        <f>D17*0.6</f>
        <v/>
      </c>
      <c r="I17" s="7" t="n">
        <v>150</v>
      </c>
      <c r="J17" s="6">
        <f>IF(I17&gt;0, ROUND((1-(I17/E17))*100, 1), F17)</f>
        <v/>
      </c>
      <c r="K17" s="6">
        <f>IF(AND(I17&gt;0, ISNUMBER(G17)), I17-G17, IF(I17&gt;0, I17*0.6, H17))</f>
        <v/>
      </c>
      <c r="L17" s="4" t="inlineStr">
        <is>
          <t>Routine in-house analyzer; low reagent marginal cost</t>
        </is>
      </c>
    </row>
    <row r="18" ht="20" customHeight="1">
      <c r="A18" s="8" t="inlineStr">
        <is>
          <t>web-014</t>
        </is>
      </c>
      <c r="B18" s="8" t="inlineStr">
        <is>
          <t>Indirect Bilirubin</t>
        </is>
      </c>
      <c r="C18" s="8" t="inlineStr">
        <is>
          <t>specialized</t>
        </is>
      </c>
      <c r="D18" s="9" t="n">
        <v>150</v>
      </c>
      <c r="E18" s="9" t="n">
        <v>150</v>
      </c>
      <c r="F18" s="9" t="n">
        <v>0</v>
      </c>
      <c r="G18" s="8" t="inlineStr"/>
      <c r="H18" s="10">
        <f>D18*0.6</f>
        <v/>
      </c>
      <c r="I18" s="7" t="n">
        <v>150</v>
      </c>
      <c r="J18" s="10">
        <f>IF(I18&gt;0, ROUND((1-(I18/E18))*100, 1), F18)</f>
        <v/>
      </c>
      <c r="K18" s="10">
        <f>IF(AND(I18&gt;0, ISNUMBER(G18)), I18-G18, IF(I18&gt;0, I18*0.6, H18))</f>
        <v/>
      </c>
      <c r="L18" s="8" t="inlineStr">
        <is>
          <t>Routine in-house analyzer; low reagent marginal cost</t>
        </is>
      </c>
    </row>
    <row r="19" ht="20" customHeight="1">
      <c r="A19" s="4" t="inlineStr">
        <is>
          <t>web-015</t>
        </is>
      </c>
      <c r="B19" s="4" t="inlineStr">
        <is>
          <t>SGOT / AST (Liver Enzyme)</t>
        </is>
      </c>
      <c r="C19" s="4" t="inlineStr">
        <is>
          <t>specialized</t>
        </is>
      </c>
      <c r="D19" s="5" t="n">
        <v>100</v>
      </c>
      <c r="E19" s="5" t="n">
        <v>100</v>
      </c>
      <c r="F19" s="5" t="n">
        <v>0</v>
      </c>
      <c r="G19" s="5" t="n">
        <v>120</v>
      </c>
      <c r="H19" s="6">
        <f>D19-G19</f>
        <v/>
      </c>
      <c r="I19" s="7" t="n">
        <v>100</v>
      </c>
      <c r="J19" s="6">
        <f>IF(I19&gt;0, ROUND((1-(I19/E19))*100, 1), F19)</f>
        <v/>
      </c>
      <c r="K19" s="6">
        <f>IF(AND(I19&gt;0, ISNUMBER(G19)), I19-G19, IF(I19&gt;0, I19*0.6, H19))</f>
        <v/>
      </c>
      <c r="L19" s="4" t="inlineStr">
        <is>
          <t>Routine in-house analyzer; low reagent marginal cost</t>
        </is>
      </c>
    </row>
    <row r="20" ht="20" customHeight="1">
      <c r="A20" s="8" t="inlineStr">
        <is>
          <t>web-016</t>
        </is>
      </c>
      <c r="B20" s="8" t="inlineStr">
        <is>
          <t>SGPT / ALT (Liver Enzyme)</t>
        </is>
      </c>
      <c r="C20" s="8" t="inlineStr">
        <is>
          <t>specialized</t>
        </is>
      </c>
      <c r="D20" s="9" t="n">
        <v>100</v>
      </c>
      <c r="E20" s="9" t="n">
        <v>100</v>
      </c>
      <c r="F20" s="9" t="n">
        <v>0</v>
      </c>
      <c r="G20" s="9" t="n">
        <v>120</v>
      </c>
      <c r="H20" s="10">
        <f>D20-G20</f>
        <v/>
      </c>
      <c r="I20" s="7" t="n">
        <v>100</v>
      </c>
      <c r="J20" s="10">
        <f>IF(I20&gt;0, ROUND((1-(I20/E20))*100, 1), F20)</f>
        <v/>
      </c>
      <c r="K20" s="10">
        <f>IF(AND(I20&gt;0, ISNUMBER(G20)), I20-G20, IF(I20&gt;0, I20*0.6, H20))</f>
        <v/>
      </c>
      <c r="L20" s="8" t="inlineStr">
        <is>
          <t>Routine in-house analyzer; low reagent marginal cost</t>
        </is>
      </c>
    </row>
    <row r="21" ht="20" customHeight="1">
      <c r="A21" s="4" t="inlineStr">
        <is>
          <t>web-017</t>
        </is>
      </c>
      <c r="B21" s="4" t="inlineStr">
        <is>
          <t>Alkaline Phosphatase (ALP)</t>
        </is>
      </c>
      <c r="C21" s="4" t="inlineStr">
        <is>
          <t>specialized</t>
        </is>
      </c>
      <c r="D21" s="5" t="n">
        <v>150</v>
      </c>
      <c r="E21" s="5" t="n">
        <v>150</v>
      </c>
      <c r="F21" s="5" t="n">
        <v>0</v>
      </c>
      <c r="G21" s="4" t="inlineStr"/>
      <c r="H21" s="6">
        <f>D21*0.6</f>
        <v/>
      </c>
      <c r="I21" s="7" t="n">
        <v>150</v>
      </c>
      <c r="J21" s="6">
        <f>IF(I21&gt;0, ROUND((1-(I21/E21))*100, 1), F21)</f>
        <v/>
      </c>
      <c r="K21" s="6">
        <f>IF(AND(I21&gt;0, ISNUMBER(G21)), I21-G21, IF(I21&gt;0, I21*0.6, H21))</f>
        <v/>
      </c>
      <c r="L21" s="4" t="inlineStr">
        <is>
          <t>Routine in-house analyzer; low reagent marginal cost</t>
        </is>
      </c>
    </row>
    <row r="22" ht="20" customHeight="1">
      <c r="A22" s="8" t="inlineStr">
        <is>
          <t>web-018</t>
        </is>
      </c>
      <c r="B22" s="8" t="inlineStr">
        <is>
          <t>GGT (Gamma-GT Liver Test)</t>
        </is>
      </c>
      <c r="C22" s="8" t="inlineStr">
        <is>
          <t>specialized</t>
        </is>
      </c>
      <c r="D22" s="9" t="n">
        <v>250</v>
      </c>
      <c r="E22" s="9" t="n">
        <v>250</v>
      </c>
      <c r="F22" s="9" t="n">
        <v>0</v>
      </c>
      <c r="G22" s="9" t="n">
        <v>120</v>
      </c>
      <c r="H22" s="10">
        <f>D22-G22</f>
        <v/>
      </c>
      <c r="I22" s="7" t="n">
        <v>250</v>
      </c>
      <c r="J22" s="10">
        <f>IF(I22&gt;0, ROUND((1-(I22/E22))*100, 1), F22)</f>
        <v/>
      </c>
      <c r="K22" s="10">
        <f>IF(AND(I22&gt;0, ISNUMBER(G22)), I22-G22, IF(I22&gt;0, I22*0.6, H22))</f>
        <v/>
      </c>
      <c r="L22" s="8" t="inlineStr">
        <is>
          <t>Routine in-house analyzer; low reagent marginal cost</t>
        </is>
      </c>
    </row>
    <row r="23" ht="20" customHeight="1">
      <c r="A23" s="4" t="inlineStr">
        <is>
          <t>web-019</t>
        </is>
      </c>
      <c r="B23" s="4" t="inlineStr">
        <is>
          <t>Total Protein Test</t>
        </is>
      </c>
      <c r="C23" s="4" t="inlineStr">
        <is>
          <t>specialized</t>
        </is>
      </c>
      <c r="D23" s="5" t="n">
        <v>120</v>
      </c>
      <c r="E23" s="5" t="n">
        <v>120</v>
      </c>
      <c r="F23" s="5" t="n">
        <v>0</v>
      </c>
      <c r="G23" s="4" t="inlineStr"/>
      <c r="H23" s="6">
        <f>D23*0.6</f>
        <v/>
      </c>
      <c r="I23" s="7" t="n">
        <v>120</v>
      </c>
      <c r="J23" s="6">
        <f>IF(I23&gt;0, ROUND((1-(I23/E23))*100, 1), F23)</f>
        <v/>
      </c>
      <c r="K23" s="6">
        <f>IF(AND(I23&gt;0, ISNUMBER(G23)), I23-G23, IF(I23&gt;0, I23*0.6, H23))</f>
        <v/>
      </c>
      <c r="L23" s="4" t="inlineStr">
        <is>
          <t>Routine in-house analyzer; low reagent marginal cost</t>
        </is>
      </c>
    </row>
    <row r="24" ht="20" customHeight="1">
      <c r="A24" s="8" t="inlineStr">
        <is>
          <t>web-020</t>
        </is>
      </c>
      <c r="B24" s="8" t="inlineStr">
        <is>
          <t>Serum Albumin</t>
        </is>
      </c>
      <c r="C24" s="8" t="inlineStr">
        <is>
          <t>specialized</t>
        </is>
      </c>
      <c r="D24" s="9" t="n">
        <v>120</v>
      </c>
      <c r="E24" s="9" t="n">
        <v>120</v>
      </c>
      <c r="F24" s="9" t="n">
        <v>0</v>
      </c>
      <c r="G24" s="9" t="n">
        <v>180</v>
      </c>
      <c r="H24" s="10">
        <f>D24-G24</f>
        <v/>
      </c>
      <c r="I24" s="7" t="n">
        <v>120</v>
      </c>
      <c r="J24" s="10">
        <f>IF(I24&gt;0, ROUND((1-(I24/E24))*100, 1), F24)</f>
        <v/>
      </c>
      <c r="K24" s="10">
        <f>IF(AND(I24&gt;0, ISNUMBER(G24)), I24-G24, IF(I24&gt;0, I24*0.6, H24))</f>
        <v/>
      </c>
      <c r="L24" s="8" t="inlineStr">
        <is>
          <t>Routine in-house analyzer; low reagent marginal cost</t>
        </is>
      </c>
    </row>
    <row r="25" ht="20" customHeight="1">
      <c r="A25" s="4" t="inlineStr">
        <is>
          <t>web-021</t>
        </is>
      </c>
      <c r="B25" s="4" t="inlineStr">
        <is>
          <t>Serum Globulin</t>
        </is>
      </c>
      <c r="C25" s="4" t="inlineStr">
        <is>
          <t>specialized</t>
        </is>
      </c>
      <c r="D25" s="5" t="n">
        <v>150</v>
      </c>
      <c r="E25" s="5" t="n">
        <v>150</v>
      </c>
      <c r="F25" s="5" t="n">
        <v>0</v>
      </c>
      <c r="G25" s="5" t="n">
        <v>180</v>
      </c>
      <c r="H25" s="6">
        <f>D25-G25</f>
        <v/>
      </c>
      <c r="I25" s="7" t="n">
        <v>150</v>
      </c>
      <c r="J25" s="6">
        <f>IF(I25&gt;0, ROUND((1-(I25/E25))*100, 1), F25)</f>
        <v/>
      </c>
      <c r="K25" s="6">
        <f>IF(AND(I25&gt;0, ISNUMBER(G25)), I25-G25, IF(I25&gt;0, I25*0.6, H25))</f>
        <v/>
      </c>
      <c r="L25" s="4" t="inlineStr">
        <is>
          <t>Routine in-house analyzer; low reagent marginal cost</t>
        </is>
      </c>
    </row>
    <row r="26" ht="20" customHeight="1">
      <c r="A26" s="8" t="inlineStr">
        <is>
          <t>web-022</t>
        </is>
      </c>
      <c r="B26" s="8" t="inlineStr">
        <is>
          <t>Albumin / Globulin (A/G) Ratio</t>
        </is>
      </c>
      <c r="C26" s="8" t="inlineStr">
        <is>
          <t>specialized</t>
        </is>
      </c>
      <c r="D26" s="9" t="n">
        <v>150</v>
      </c>
      <c r="E26" s="9" t="n">
        <v>150</v>
      </c>
      <c r="F26" s="9" t="n">
        <v>0</v>
      </c>
      <c r="G26" s="8" t="inlineStr"/>
      <c r="H26" s="10">
        <f>D26*0.6</f>
        <v/>
      </c>
      <c r="I26" s="7" t="n">
        <v>150</v>
      </c>
      <c r="J26" s="10">
        <f>IF(I26&gt;0, ROUND((1-(I26/E26))*100, 1), F26)</f>
        <v/>
      </c>
      <c r="K26" s="10">
        <f>IF(AND(I26&gt;0, ISNUMBER(G26)), I26-G26, IF(I26&gt;0, I26*0.6, H26))</f>
        <v/>
      </c>
      <c r="L26" s="8" t="inlineStr">
        <is>
          <t>Routine in-house analyzer; low reagent marginal cost</t>
        </is>
      </c>
    </row>
    <row r="27" ht="20" customHeight="1">
      <c r="A27" s="4" t="inlineStr">
        <is>
          <t>web-023</t>
        </is>
      </c>
      <c r="B27" s="4" t="inlineStr">
        <is>
          <t>Blood Urea Nitrogen (BUN)</t>
        </is>
      </c>
      <c r="C27" s="4" t="inlineStr">
        <is>
          <t>specialized</t>
        </is>
      </c>
      <c r="D27" s="5" t="n">
        <v>150</v>
      </c>
      <c r="E27" s="5" t="n">
        <v>150</v>
      </c>
      <c r="F27" s="5" t="n">
        <v>0</v>
      </c>
      <c r="G27" s="5" t="n">
        <v>500</v>
      </c>
      <c r="H27" s="6">
        <f>D27-G27</f>
        <v/>
      </c>
      <c r="I27" s="7" t="n">
        <v>150</v>
      </c>
      <c r="J27" s="6">
        <f>IF(I27&gt;0, ROUND((1-(I27/E27))*100, 1), F27)</f>
        <v/>
      </c>
      <c r="K27" s="6">
        <f>IF(AND(I27&gt;0, ISNUMBER(G27)), I27-G27, IF(I27&gt;0, I27*0.6, H27))</f>
        <v/>
      </c>
      <c r="L27" s="4" t="inlineStr">
        <is>
          <t>Routine in-house analyzer; low reagent marginal cost</t>
        </is>
      </c>
    </row>
    <row r="28" ht="20" customHeight="1">
      <c r="A28" s="8" t="inlineStr">
        <is>
          <t>web-024</t>
        </is>
      </c>
      <c r="B28" s="8" t="inlineStr">
        <is>
          <t>Blood Urea (Kidney Test)</t>
        </is>
      </c>
      <c r="C28" s="8" t="inlineStr">
        <is>
          <t>specialized</t>
        </is>
      </c>
      <c r="D28" s="9" t="n">
        <v>120</v>
      </c>
      <c r="E28" s="9" t="n">
        <v>120</v>
      </c>
      <c r="F28" s="9" t="n">
        <v>0</v>
      </c>
      <c r="G28" s="9" t="n">
        <v>500</v>
      </c>
      <c r="H28" s="10">
        <f>D28-G28</f>
        <v/>
      </c>
      <c r="I28" s="7" t="n">
        <v>120</v>
      </c>
      <c r="J28" s="10">
        <f>IF(I28&gt;0, ROUND((1-(I28/E28))*100, 1), F28)</f>
        <v/>
      </c>
      <c r="K28" s="10">
        <f>IF(AND(I28&gt;0, ISNUMBER(G28)), I28-G28, IF(I28&gt;0, I28*0.6, H28))</f>
        <v/>
      </c>
      <c r="L28" s="8" t="inlineStr">
        <is>
          <t>Routine in-house analyzer; low reagent marginal cost</t>
        </is>
      </c>
    </row>
    <row r="29" ht="20" customHeight="1">
      <c r="A29" s="4" t="inlineStr">
        <is>
          <t>web-025</t>
        </is>
      </c>
      <c r="B29" s="4" t="inlineStr">
        <is>
          <t>Serum Creatinine (Kidney Test)</t>
        </is>
      </c>
      <c r="C29" s="4" t="inlineStr">
        <is>
          <t>specialized</t>
        </is>
      </c>
      <c r="D29" s="5" t="n">
        <v>150</v>
      </c>
      <c r="E29" s="5" t="n">
        <v>150</v>
      </c>
      <c r="F29" s="5" t="n">
        <v>0</v>
      </c>
      <c r="G29" s="5" t="n">
        <v>180</v>
      </c>
      <c r="H29" s="6">
        <f>D29-G29</f>
        <v/>
      </c>
      <c r="I29" s="7" t="n">
        <v>150</v>
      </c>
      <c r="J29" s="6">
        <f>IF(I29&gt;0, ROUND((1-(I29/E29))*100, 1), F29)</f>
        <v/>
      </c>
      <c r="K29" s="6">
        <f>IF(AND(I29&gt;0, ISNUMBER(G29)), I29-G29, IF(I29&gt;0, I29*0.6, H29))</f>
        <v/>
      </c>
      <c r="L29" s="4" t="inlineStr">
        <is>
          <t>Routine in-house analyzer; low reagent marginal cost</t>
        </is>
      </c>
    </row>
    <row r="30" ht="20" customHeight="1">
      <c r="A30" s="8" t="inlineStr">
        <is>
          <t>web-026</t>
        </is>
      </c>
      <c r="B30" s="8" t="inlineStr">
        <is>
          <t>Uric Acid (Gout / Joint Test)</t>
        </is>
      </c>
      <c r="C30" s="8" t="inlineStr">
        <is>
          <t>specialized</t>
        </is>
      </c>
      <c r="D30" s="9" t="n">
        <v>150</v>
      </c>
      <c r="E30" s="9" t="n">
        <v>150</v>
      </c>
      <c r="F30" s="9" t="n">
        <v>0</v>
      </c>
      <c r="G30" s="8" t="inlineStr"/>
      <c r="H30" s="10">
        <f>D30*0.6</f>
        <v/>
      </c>
      <c r="I30" s="7" t="n">
        <v>150</v>
      </c>
      <c r="J30" s="10">
        <f>IF(I30&gt;0, ROUND((1-(I30/E30))*100, 1), F30)</f>
        <v/>
      </c>
      <c r="K30" s="10">
        <f>IF(AND(I30&gt;0, ISNUMBER(G30)), I30-G30, IF(I30&gt;0, I30*0.6, H30))</f>
        <v/>
      </c>
      <c r="L30" s="8" t="inlineStr">
        <is>
          <t>Routine in-house analyzer; low reagent marginal cost</t>
        </is>
      </c>
    </row>
    <row r="31" ht="20" customHeight="1">
      <c r="A31" s="4" t="inlineStr">
        <is>
          <t>web-027</t>
        </is>
      </c>
      <c r="B31" s="4" t="inlineStr">
        <is>
          <t>Calcium Test</t>
        </is>
      </c>
      <c r="C31" s="4" t="inlineStr">
        <is>
          <t>specialized</t>
        </is>
      </c>
      <c r="D31" s="5" t="n">
        <v>150</v>
      </c>
      <c r="E31" s="5" t="n">
        <v>150</v>
      </c>
      <c r="F31" s="5" t="n">
        <v>0</v>
      </c>
      <c r="G31" s="4" t="inlineStr"/>
      <c r="H31" s="6">
        <f>D31*0.6</f>
        <v/>
      </c>
      <c r="I31" s="7" t="n">
        <v>150</v>
      </c>
      <c r="J31" s="6">
        <f>IF(I31&gt;0, ROUND((1-(I31/E31))*100, 1), F31)</f>
        <v/>
      </c>
      <c r="K31" s="6">
        <f>IF(AND(I31&gt;0, ISNUMBER(G31)), I31-G31, IF(I31&gt;0, I31*0.6, H31))</f>
        <v/>
      </c>
      <c r="L31" s="4" t="inlineStr">
        <is>
          <t>Routine in-house analyzer; low reagent marginal cost</t>
        </is>
      </c>
    </row>
    <row r="32" ht="20" customHeight="1">
      <c r="A32" s="8" t="inlineStr">
        <is>
          <t>web-028</t>
        </is>
      </c>
      <c r="B32" s="8" t="inlineStr">
        <is>
          <t>Phosphorus Test</t>
        </is>
      </c>
      <c r="C32" s="8" t="inlineStr">
        <is>
          <t>specialized</t>
        </is>
      </c>
      <c r="D32" s="9" t="n">
        <v>150</v>
      </c>
      <c r="E32" s="9" t="n">
        <v>150</v>
      </c>
      <c r="F32" s="9" t="n">
        <v>0</v>
      </c>
      <c r="G32" s="8" t="inlineStr"/>
      <c r="H32" s="10">
        <f>D32*0.6</f>
        <v/>
      </c>
      <c r="I32" s="7" t="n">
        <v>150</v>
      </c>
      <c r="J32" s="10">
        <f>IF(I32&gt;0, ROUND((1-(I32/E32))*100, 1), F32)</f>
        <v/>
      </c>
      <c r="K32" s="10">
        <f>IF(AND(I32&gt;0, ISNUMBER(G32)), I32-G32, IF(I32&gt;0, I32*0.6, H32))</f>
        <v/>
      </c>
      <c r="L32" s="8" t="inlineStr">
        <is>
          <t>Routine in-house analyzer; low reagent marginal cost</t>
        </is>
      </c>
    </row>
    <row r="33" ht="20" customHeight="1">
      <c r="A33" s="4" t="inlineStr">
        <is>
          <t>web-029</t>
        </is>
      </c>
      <c r="B33" s="4" t="inlineStr">
        <is>
          <t>eGFR Kidney Filtration Rate</t>
        </is>
      </c>
      <c r="C33" s="4" t="inlineStr">
        <is>
          <t>specialized</t>
        </is>
      </c>
      <c r="D33" s="5" t="n">
        <v>150</v>
      </c>
      <c r="E33" s="5" t="n">
        <v>150</v>
      </c>
      <c r="F33" s="5" t="n">
        <v>0</v>
      </c>
      <c r="G33" s="5" t="n">
        <v>150</v>
      </c>
      <c r="H33" s="6">
        <f>D33-G33</f>
        <v/>
      </c>
      <c r="I33" s="7" t="n">
        <v>150</v>
      </c>
      <c r="J33" s="6">
        <f>IF(I33&gt;0, ROUND((1-(I33/E33))*100, 1), F33)</f>
        <v/>
      </c>
      <c r="K33" s="6">
        <f>IF(AND(I33&gt;0, ISNUMBER(G33)), I33-G33, IF(I33&gt;0, I33*0.6, H33))</f>
        <v/>
      </c>
      <c r="L33" s="4" t="inlineStr">
        <is>
          <t>Routine in-house analyzer; low reagent marginal cost</t>
        </is>
      </c>
    </row>
    <row r="34" ht="20" customHeight="1">
      <c r="A34" s="8" t="inlineStr">
        <is>
          <t>web-030</t>
        </is>
      </c>
      <c r="B34" s="8" t="inlineStr">
        <is>
          <t>Total Cholesterol Test</t>
        </is>
      </c>
      <c r="C34" s="8" t="inlineStr">
        <is>
          <t>specialized</t>
        </is>
      </c>
      <c r="D34" s="9" t="n">
        <v>150</v>
      </c>
      <c r="E34" s="9" t="n">
        <v>150</v>
      </c>
      <c r="F34" s="9" t="n">
        <v>0</v>
      </c>
      <c r="G34" s="8" t="inlineStr"/>
      <c r="H34" s="10">
        <f>D34*0.6</f>
        <v/>
      </c>
      <c r="I34" s="7" t="n">
        <v>150</v>
      </c>
      <c r="J34" s="10">
        <f>IF(I34&gt;0, ROUND((1-(I34/E34))*100, 1), F34)</f>
        <v/>
      </c>
      <c r="K34" s="10">
        <f>IF(AND(I34&gt;0, ISNUMBER(G34)), I34-G34, IF(I34&gt;0, I34*0.6, H34))</f>
        <v/>
      </c>
      <c r="L34" s="8" t="inlineStr">
        <is>
          <t>Routine in-house analyzer; low reagent marginal cost</t>
        </is>
      </c>
    </row>
    <row r="35" ht="20" customHeight="1">
      <c r="A35" s="4" t="inlineStr">
        <is>
          <t>web-031</t>
        </is>
      </c>
      <c r="B35" s="4" t="inlineStr">
        <is>
          <t>HDL Good Cholesterol (Direct)</t>
        </is>
      </c>
      <c r="C35" s="4" t="inlineStr">
        <is>
          <t>specialized</t>
        </is>
      </c>
      <c r="D35" s="5" t="n">
        <v>200</v>
      </c>
      <c r="E35" s="5" t="n">
        <v>200</v>
      </c>
      <c r="F35" s="5" t="n">
        <v>0</v>
      </c>
      <c r="G35" s="4" t="inlineStr"/>
      <c r="H35" s="6">
        <f>D35*0.6</f>
        <v/>
      </c>
      <c r="I35" s="7" t="n">
        <v>200</v>
      </c>
      <c r="J35" s="6">
        <f>IF(I35&gt;0, ROUND((1-(I35/E35))*100, 1), F35)</f>
        <v/>
      </c>
      <c r="K35" s="6">
        <f>IF(AND(I35&gt;0, ISNUMBER(G35)), I35-G35, IF(I35&gt;0, I35*0.6, H35))</f>
        <v/>
      </c>
      <c r="L35" s="4" t="inlineStr">
        <is>
          <t>Routine in-house analyzer; low reagent marginal cost</t>
        </is>
      </c>
    </row>
    <row r="36" ht="20" customHeight="1">
      <c r="A36" s="8" t="inlineStr">
        <is>
          <t>web-032</t>
        </is>
      </c>
      <c r="B36" s="8" t="inlineStr">
        <is>
          <t>LDL Bad Cholesterol</t>
        </is>
      </c>
      <c r="C36" s="8" t="inlineStr">
        <is>
          <t>specialized</t>
        </is>
      </c>
      <c r="D36" s="9" t="n">
        <v>200</v>
      </c>
      <c r="E36" s="9" t="n">
        <v>200</v>
      </c>
      <c r="F36" s="9" t="n">
        <v>0</v>
      </c>
      <c r="G36" s="8" t="inlineStr"/>
      <c r="H36" s="10">
        <f>D36*0.6</f>
        <v/>
      </c>
      <c r="I36" s="7" t="n">
        <v>200</v>
      </c>
      <c r="J36" s="10">
        <f>IF(I36&gt;0, ROUND((1-(I36/E36))*100, 1), F36)</f>
        <v/>
      </c>
      <c r="K36" s="10">
        <f>IF(AND(I36&gt;0, ISNUMBER(G36)), I36-G36, IF(I36&gt;0, I36*0.6, H36))</f>
        <v/>
      </c>
      <c r="L36" s="8" t="inlineStr">
        <is>
          <t>Routine in-house analyzer; low reagent marginal cost</t>
        </is>
      </c>
    </row>
    <row r="37" ht="20" customHeight="1">
      <c r="A37" s="4" t="inlineStr">
        <is>
          <t>web-033</t>
        </is>
      </c>
      <c r="B37" s="4" t="inlineStr">
        <is>
          <t>VLDL Cholesterol</t>
        </is>
      </c>
      <c r="C37" s="4" t="inlineStr">
        <is>
          <t>specialized</t>
        </is>
      </c>
      <c r="D37" s="5" t="n">
        <v>150</v>
      </c>
      <c r="E37" s="5" t="n">
        <v>150</v>
      </c>
      <c r="F37" s="5" t="n">
        <v>0</v>
      </c>
      <c r="G37" s="4" t="inlineStr"/>
      <c r="H37" s="6">
        <f>D37*0.6</f>
        <v/>
      </c>
      <c r="I37" s="7" t="n">
        <v>150</v>
      </c>
      <c r="J37" s="6">
        <f>IF(I37&gt;0, ROUND((1-(I37/E37))*100, 1), F37)</f>
        <v/>
      </c>
      <c r="K37" s="6">
        <f>IF(AND(I37&gt;0, ISNUMBER(G37)), I37-G37, IF(I37&gt;0, I37*0.6, H37))</f>
        <v/>
      </c>
      <c r="L37" s="4" t="inlineStr">
        <is>
          <t>Routine in-house analyzer; low reagent marginal cost</t>
        </is>
      </c>
    </row>
    <row r="38" ht="20" customHeight="1">
      <c r="A38" s="8" t="inlineStr">
        <is>
          <t>web-034</t>
        </is>
      </c>
      <c r="B38" s="8" t="inlineStr">
        <is>
          <t>Triglycerides Test</t>
        </is>
      </c>
      <c r="C38" s="8" t="inlineStr">
        <is>
          <t>specialized</t>
        </is>
      </c>
      <c r="D38" s="9" t="n">
        <v>180</v>
      </c>
      <c r="E38" s="9" t="n">
        <v>180</v>
      </c>
      <c r="F38" s="9" t="n">
        <v>0</v>
      </c>
      <c r="G38" s="8" t="inlineStr"/>
      <c r="H38" s="10">
        <f>D38*0.6</f>
        <v/>
      </c>
      <c r="I38" s="7" t="n">
        <v>180</v>
      </c>
      <c r="J38" s="10">
        <f>IF(I38&gt;0, ROUND((1-(I38/E38))*100, 1), F38)</f>
        <v/>
      </c>
      <c r="K38" s="10">
        <f>IF(AND(I38&gt;0, ISNUMBER(G38)), I38-G38, IF(I38&gt;0, I38*0.6, H38))</f>
        <v/>
      </c>
      <c r="L38" s="8" t="inlineStr">
        <is>
          <t>Routine in-house analyzer; low reagent marginal cost</t>
        </is>
      </c>
    </row>
    <row r="39" ht="20" customHeight="1">
      <c r="A39" s="4" t="inlineStr">
        <is>
          <t>web-035</t>
        </is>
      </c>
      <c r="B39" s="4" t="inlineStr">
        <is>
          <t>TC / HDL Cholesterol Ratio</t>
        </is>
      </c>
      <c r="C39" s="4" t="inlineStr">
        <is>
          <t>specialized</t>
        </is>
      </c>
      <c r="D39" s="5" t="n">
        <v>150</v>
      </c>
      <c r="E39" s="5" t="n">
        <v>150</v>
      </c>
      <c r="F39" s="5" t="n">
        <v>0</v>
      </c>
      <c r="G39" s="4" t="inlineStr"/>
      <c r="H39" s="6">
        <f>D39*0.6</f>
        <v/>
      </c>
      <c r="I39" s="7" t="n">
        <v>150</v>
      </c>
      <c r="J39" s="6">
        <f>IF(I39&gt;0, ROUND((1-(I39/E39))*100, 1), F39)</f>
        <v/>
      </c>
      <c r="K39" s="6">
        <f>IF(AND(I39&gt;0, ISNUMBER(G39)), I39-G39, IF(I39&gt;0, I39*0.6, H39))</f>
        <v/>
      </c>
      <c r="L39" s="4" t="inlineStr">
        <is>
          <t>Routine in-house analyzer; low reagent marginal cost</t>
        </is>
      </c>
    </row>
    <row r="40" ht="20" customHeight="1">
      <c r="A40" s="8" t="inlineStr">
        <is>
          <t>web-036</t>
        </is>
      </c>
      <c r="B40" s="8" t="inlineStr">
        <is>
          <t>LDL / HDL Cholesterol Ratio</t>
        </is>
      </c>
      <c r="C40" s="8" t="inlineStr">
        <is>
          <t>specialized</t>
        </is>
      </c>
      <c r="D40" s="9" t="n">
        <v>150</v>
      </c>
      <c r="E40" s="9" t="n">
        <v>150</v>
      </c>
      <c r="F40" s="9" t="n">
        <v>0</v>
      </c>
      <c r="G40" s="8" t="inlineStr"/>
      <c r="H40" s="10">
        <f>D40*0.6</f>
        <v/>
      </c>
      <c r="I40" s="7" t="n">
        <v>150</v>
      </c>
      <c r="J40" s="10">
        <f>IF(I40&gt;0, ROUND((1-(I40/E40))*100, 1), F40)</f>
        <v/>
      </c>
      <c r="K40" s="10">
        <f>IF(AND(I40&gt;0, ISNUMBER(G40)), I40-G40, IF(I40&gt;0, I40*0.6, H40))</f>
        <v/>
      </c>
      <c r="L40" s="8" t="inlineStr">
        <is>
          <t>Routine in-house analyzer; low reagent marginal cost</t>
        </is>
      </c>
    </row>
    <row r="41" ht="20" customHeight="1">
      <c r="A41" s="4" t="inlineStr">
        <is>
          <t>web-037</t>
        </is>
      </c>
      <c r="B41" s="4" t="inlineStr">
        <is>
          <t>Fasting Blood Sugar (FBS)</t>
        </is>
      </c>
      <c r="C41" s="4" t="inlineStr">
        <is>
          <t>specialized</t>
        </is>
      </c>
      <c r="D41" s="5" t="n">
        <v>80</v>
      </c>
      <c r="E41" s="5" t="n">
        <v>80</v>
      </c>
      <c r="F41" s="5" t="n">
        <v>0</v>
      </c>
      <c r="G41" s="5" t="n">
        <v>500</v>
      </c>
      <c r="H41" s="6">
        <f>D41-G41</f>
        <v/>
      </c>
      <c r="I41" s="7" t="n">
        <v>80</v>
      </c>
      <c r="J41" s="6">
        <f>IF(I41&gt;0, ROUND((1-(I41/E41))*100, 1), F41)</f>
        <v/>
      </c>
      <c r="K41" s="6">
        <f>IF(AND(I41&gt;0, ISNUMBER(G41)), I41-G41, IF(I41&gt;0, I41*0.6, H41))</f>
        <v/>
      </c>
      <c r="L41" s="4" t="inlineStr">
        <is>
          <t>Routine in-house analyzer; low reagent marginal cost</t>
        </is>
      </c>
    </row>
    <row r="42" ht="20" customHeight="1">
      <c r="A42" s="8" t="inlineStr">
        <is>
          <t>web-038</t>
        </is>
      </c>
      <c r="B42" s="8" t="inlineStr">
        <is>
          <t>Post Prandial Blood Sugar (PPBS)</t>
        </is>
      </c>
      <c r="C42" s="8" t="inlineStr">
        <is>
          <t>specialized</t>
        </is>
      </c>
      <c r="D42" s="9" t="n">
        <v>80</v>
      </c>
      <c r="E42" s="9" t="n">
        <v>80</v>
      </c>
      <c r="F42" s="9" t="n">
        <v>0</v>
      </c>
      <c r="G42" s="9" t="n">
        <v>500</v>
      </c>
      <c r="H42" s="10">
        <f>D42-G42</f>
        <v/>
      </c>
      <c r="I42" s="7" t="n">
        <v>80</v>
      </c>
      <c r="J42" s="10">
        <f>IF(I42&gt;0, ROUND((1-(I42/E42))*100, 1), F42)</f>
        <v/>
      </c>
      <c r="K42" s="10">
        <f>IF(AND(I42&gt;0, ISNUMBER(G42)), I42-G42, IF(I42&gt;0, I42*0.6, H42))</f>
        <v/>
      </c>
      <c r="L42" s="8" t="inlineStr">
        <is>
          <t>Routine in-house analyzer; low reagent marginal cost</t>
        </is>
      </c>
    </row>
    <row r="43" ht="20" customHeight="1">
      <c r="A43" s="4" t="inlineStr">
        <is>
          <t>web-039</t>
        </is>
      </c>
      <c r="B43" s="4" t="inlineStr">
        <is>
          <t>Random Blood Sugar (RBS)</t>
        </is>
      </c>
      <c r="C43" s="4" t="inlineStr">
        <is>
          <t>specialized</t>
        </is>
      </c>
      <c r="D43" s="5" t="n">
        <v>80</v>
      </c>
      <c r="E43" s="5" t="n">
        <v>80</v>
      </c>
      <c r="F43" s="5" t="n">
        <v>0</v>
      </c>
      <c r="G43" s="5" t="n">
        <v>500</v>
      </c>
      <c r="H43" s="6">
        <f>D43-G43</f>
        <v/>
      </c>
      <c r="I43" s="7" t="n">
        <v>80</v>
      </c>
      <c r="J43" s="6">
        <f>IF(I43&gt;0, ROUND((1-(I43/E43))*100, 1), F43)</f>
        <v/>
      </c>
      <c r="K43" s="6">
        <f>IF(AND(I43&gt;0, ISNUMBER(G43)), I43-G43, IF(I43&gt;0, I43*0.6, H43))</f>
        <v/>
      </c>
      <c r="L43" s="4" t="inlineStr">
        <is>
          <t>Routine in-house analyzer; low reagent marginal cost</t>
        </is>
      </c>
    </row>
    <row r="44" ht="20" customHeight="1">
      <c r="A44" s="8" t="inlineStr">
        <is>
          <t>web-040</t>
        </is>
      </c>
      <c r="B44" s="8" t="inlineStr">
        <is>
          <t>HbA1c (3-Month Sugar Average)</t>
        </is>
      </c>
      <c r="C44" s="8" t="inlineStr">
        <is>
          <t>specialized</t>
        </is>
      </c>
      <c r="D44" s="9" t="n">
        <v>450</v>
      </c>
      <c r="E44" s="9" t="n">
        <v>450</v>
      </c>
      <c r="F44" s="9" t="n">
        <v>0</v>
      </c>
      <c r="G44" s="9" t="n">
        <v>150</v>
      </c>
      <c r="H44" s="10">
        <f>D44-G44</f>
        <v/>
      </c>
      <c r="I44" s="7" t="n">
        <v>450</v>
      </c>
      <c r="J44" s="10">
        <f>IF(I44&gt;0, ROUND((1-(I44/E44))*100, 1), F44)</f>
        <v/>
      </c>
      <c r="K44" s="10">
        <f>IF(AND(I44&gt;0, ISNUMBER(G44)), I44-G44, IF(I44&gt;0, I44*0.6, H44))</f>
        <v/>
      </c>
      <c r="L44" s="8" t="inlineStr">
        <is>
          <t>Specialized CLIA / partner outsourced parameter</t>
        </is>
      </c>
    </row>
    <row r="45" ht="20" customHeight="1">
      <c r="A45" s="4" t="inlineStr">
        <is>
          <t>web-041</t>
        </is>
      </c>
      <c r="B45" s="4" t="inlineStr">
        <is>
          <t>Serum Iron Test</t>
        </is>
      </c>
      <c r="C45" s="4" t="inlineStr">
        <is>
          <t>specialized</t>
        </is>
      </c>
      <c r="D45" s="5" t="n">
        <v>250</v>
      </c>
      <c r="E45" s="5" t="n">
        <v>250</v>
      </c>
      <c r="F45" s="5" t="n">
        <v>0</v>
      </c>
      <c r="G45" s="5" t="n">
        <v>180</v>
      </c>
      <c r="H45" s="6">
        <f>D45-G45</f>
        <v/>
      </c>
      <c r="I45" s="7" t="n">
        <v>250</v>
      </c>
      <c r="J45" s="6">
        <f>IF(I45&gt;0, ROUND((1-(I45/E45))*100, 1), F45)</f>
        <v/>
      </c>
      <c r="K45" s="6">
        <f>IF(AND(I45&gt;0, ISNUMBER(G45)), I45-G45, IF(I45&gt;0, I45*0.6, H45))</f>
        <v/>
      </c>
      <c r="L45" s="4" t="inlineStr">
        <is>
          <t>Routine in-house analyzer; low reagent marginal cost</t>
        </is>
      </c>
    </row>
    <row r="46" ht="20" customHeight="1">
      <c r="A46" s="8" t="inlineStr">
        <is>
          <t>web-042</t>
        </is>
      </c>
      <c r="B46" s="8" t="inlineStr">
        <is>
          <t>% Transferrin Saturation</t>
        </is>
      </c>
      <c r="C46" s="8" t="inlineStr">
        <is>
          <t>specialized</t>
        </is>
      </c>
      <c r="D46" s="9" t="n">
        <v>350</v>
      </c>
      <c r="E46" s="9" t="n">
        <v>350</v>
      </c>
      <c r="F46" s="9" t="n">
        <v>0</v>
      </c>
      <c r="G46" s="8" t="inlineStr"/>
      <c r="H46" s="10">
        <f>D46*0.6</f>
        <v/>
      </c>
      <c r="I46" s="7" t="n">
        <v>350</v>
      </c>
      <c r="J46" s="10">
        <f>IF(I46&gt;0, ROUND((1-(I46/E46))*100, 1), F46)</f>
        <v/>
      </c>
      <c r="K46" s="10">
        <f>IF(AND(I46&gt;0, ISNUMBER(G46)), I46-G46, IF(I46&gt;0, I46*0.6, H46))</f>
        <v/>
      </c>
      <c r="L46" s="8" t="inlineStr">
        <is>
          <t>Specialized CLIA / partner outsourced parameter</t>
        </is>
      </c>
    </row>
    <row r="47" ht="20" customHeight="1">
      <c r="A47" s="4" t="inlineStr">
        <is>
          <t>web-043</t>
        </is>
      </c>
      <c r="B47" s="4" t="inlineStr">
        <is>
          <t>Serum Ferritin (Iron Stores)</t>
        </is>
      </c>
      <c r="C47" s="4" t="inlineStr">
        <is>
          <t>specialized</t>
        </is>
      </c>
      <c r="D47" s="5" t="n">
        <v>600</v>
      </c>
      <c r="E47" s="5" t="n">
        <v>600</v>
      </c>
      <c r="F47" s="5" t="n">
        <v>0</v>
      </c>
      <c r="G47" s="5" t="n">
        <v>180</v>
      </c>
      <c r="H47" s="6">
        <f>D47-G47</f>
        <v/>
      </c>
      <c r="I47" s="7" t="n">
        <v>600</v>
      </c>
      <c r="J47" s="6">
        <f>IF(I47&gt;0, ROUND((1-(I47/E47))*100, 1), F47)</f>
        <v/>
      </c>
      <c r="K47" s="6">
        <f>IF(AND(I47&gt;0, ISNUMBER(G47)), I47-G47, IF(I47&gt;0, I47*0.6, H47))</f>
        <v/>
      </c>
      <c r="L47" s="4" t="inlineStr">
        <is>
          <t>Specialized CLIA / partner outsourced parameter</t>
        </is>
      </c>
    </row>
    <row r="48" ht="20" customHeight="1">
      <c r="A48" s="8" t="inlineStr">
        <is>
          <t>web-044</t>
        </is>
      </c>
      <c r="B48" s="8" t="inlineStr">
        <is>
          <t>Troponin I (Cardiac Marker)</t>
        </is>
      </c>
      <c r="C48" s="8" t="inlineStr">
        <is>
          <t>specialized</t>
        </is>
      </c>
      <c r="D48" s="9" t="n">
        <v>1150</v>
      </c>
      <c r="E48" s="9" t="n">
        <v>1150</v>
      </c>
      <c r="F48" s="9" t="n">
        <v>0</v>
      </c>
      <c r="G48" s="8" t="inlineStr"/>
      <c r="H48" s="10">
        <f>D48*0.6</f>
        <v/>
      </c>
      <c r="I48" s="7" t="n">
        <v>1150</v>
      </c>
      <c r="J48" s="10">
        <f>IF(I48&gt;0, ROUND((1-(I48/E48))*100, 1), F48)</f>
        <v/>
      </c>
      <c r="K48" s="10">
        <f>IF(AND(I48&gt;0, ISNUMBER(G48)), I48-G48, IF(I48&gt;0, I48*0.6, H48))</f>
        <v/>
      </c>
      <c r="L48" s="8" t="inlineStr">
        <is>
          <t>Specialized CLIA / partner outsourced parameter</t>
        </is>
      </c>
    </row>
    <row r="49" ht="20" customHeight="1">
      <c r="A49" s="4" t="inlineStr">
        <is>
          <t>web-045</t>
        </is>
      </c>
      <c r="B49" s="4" t="inlineStr">
        <is>
          <t>Troponin T (High Sensitive Cardiac)</t>
        </is>
      </c>
      <c r="C49" s="4" t="inlineStr">
        <is>
          <t>specialized</t>
        </is>
      </c>
      <c r="D49" s="5" t="n">
        <v>2250</v>
      </c>
      <c r="E49" s="5" t="n">
        <v>2250</v>
      </c>
      <c r="F49" s="5" t="n">
        <v>0</v>
      </c>
      <c r="G49" s="4" t="inlineStr"/>
      <c r="H49" s="6">
        <f>D49*0.6</f>
        <v/>
      </c>
      <c r="I49" s="7" t="n">
        <v>2250</v>
      </c>
      <c r="J49" s="6">
        <f>IF(I49&gt;0, ROUND((1-(I49/E49))*100, 1), F49)</f>
        <v/>
      </c>
      <c r="K49" s="6">
        <f>IF(AND(I49&gt;0, ISNUMBER(G49)), I49-G49, IF(I49&gt;0, I49*0.6, H49))</f>
        <v/>
      </c>
      <c r="L49" s="4" t="inlineStr">
        <is>
          <t>Specialized CLIA / partner outsourced parameter</t>
        </is>
      </c>
    </row>
    <row r="50" ht="20" customHeight="1">
      <c r="A50" s="8" t="inlineStr">
        <is>
          <t>web-046</t>
        </is>
      </c>
      <c r="B50" s="8" t="inlineStr">
        <is>
          <t>Total CPK (Creatine Kinase)</t>
        </is>
      </c>
      <c r="C50" s="8" t="inlineStr">
        <is>
          <t>specialized</t>
        </is>
      </c>
      <c r="D50" s="9" t="n">
        <v>350</v>
      </c>
      <c r="E50" s="9" t="n">
        <v>350</v>
      </c>
      <c r="F50" s="9" t="n">
        <v>0</v>
      </c>
      <c r="G50" s="8" t="inlineStr"/>
      <c r="H50" s="10">
        <f>D50*0.6</f>
        <v/>
      </c>
      <c r="I50" s="7" t="n">
        <v>350</v>
      </c>
      <c r="J50" s="10">
        <f>IF(I50&gt;0, ROUND((1-(I50/E50))*100, 1), F50)</f>
        <v/>
      </c>
      <c r="K50" s="10">
        <f>IF(AND(I50&gt;0, ISNUMBER(G50)), I50-G50, IF(I50&gt;0, I50*0.6, H50))</f>
        <v/>
      </c>
      <c r="L50" s="8" t="inlineStr">
        <is>
          <t>Specialized CLIA / partner outsourced parameter</t>
        </is>
      </c>
    </row>
    <row r="51" ht="20" customHeight="1">
      <c r="A51" s="4" t="inlineStr">
        <is>
          <t>web-047</t>
        </is>
      </c>
      <c r="B51" s="4" t="inlineStr">
        <is>
          <t>CK-MB (Heart Enzyme Test)</t>
        </is>
      </c>
      <c r="C51" s="4" t="inlineStr">
        <is>
          <t>specialized</t>
        </is>
      </c>
      <c r="D51" s="5" t="n">
        <v>450</v>
      </c>
      <c r="E51" s="5" t="n">
        <v>450</v>
      </c>
      <c r="F51" s="5" t="n">
        <v>0</v>
      </c>
      <c r="G51" s="4" t="inlineStr"/>
      <c r="H51" s="6">
        <f>D51*0.6</f>
        <v/>
      </c>
      <c r="I51" s="7" t="n">
        <v>450</v>
      </c>
      <c r="J51" s="6">
        <f>IF(I51&gt;0, ROUND((1-(I51/E51))*100, 1), F51)</f>
        <v/>
      </c>
      <c r="K51" s="6">
        <f>IF(AND(I51&gt;0, ISNUMBER(G51)), I51-G51, IF(I51&gt;0, I51*0.6, H51))</f>
        <v/>
      </c>
      <c r="L51" s="4" t="inlineStr">
        <is>
          <t>Specialized CLIA / partner outsourced parameter</t>
        </is>
      </c>
    </row>
    <row r="52" ht="20" customHeight="1">
      <c r="A52" s="8" t="inlineStr">
        <is>
          <t>web-048</t>
        </is>
      </c>
      <c r="B52" s="8" t="inlineStr">
        <is>
          <t>Serum Amylase (Pancreas Test)</t>
        </is>
      </c>
      <c r="C52" s="8" t="inlineStr">
        <is>
          <t>specialized</t>
        </is>
      </c>
      <c r="D52" s="9" t="n">
        <v>460</v>
      </c>
      <c r="E52" s="9" t="n">
        <v>460</v>
      </c>
      <c r="F52" s="9" t="n">
        <v>0</v>
      </c>
      <c r="G52" s="9" t="n">
        <v>180</v>
      </c>
      <c r="H52" s="10">
        <f>D52-G52</f>
        <v/>
      </c>
      <c r="I52" s="7" t="n">
        <v>460</v>
      </c>
      <c r="J52" s="10">
        <f>IF(I52&gt;0, ROUND((1-(I52/E52))*100, 1), F52)</f>
        <v/>
      </c>
      <c r="K52" s="10">
        <f>IF(AND(I52&gt;0, ISNUMBER(G52)), I52-G52, IF(I52&gt;0, I52*0.6, H52))</f>
        <v/>
      </c>
      <c r="L52" s="8" t="inlineStr">
        <is>
          <t>Specialized CLIA / partner outsourced parameter</t>
        </is>
      </c>
    </row>
    <row r="53" ht="20" customHeight="1">
      <c r="A53" s="4" t="inlineStr">
        <is>
          <t>web-049</t>
        </is>
      </c>
      <c r="B53" s="4" t="inlineStr">
        <is>
          <t>Serum Lipase (Pancreas Test)</t>
        </is>
      </c>
      <c r="C53" s="4" t="inlineStr">
        <is>
          <t>specialized</t>
        </is>
      </c>
      <c r="D53" s="5" t="n">
        <v>600</v>
      </c>
      <c r="E53" s="5" t="n">
        <v>600</v>
      </c>
      <c r="F53" s="5" t="n">
        <v>0</v>
      </c>
      <c r="G53" s="5" t="n">
        <v>180</v>
      </c>
      <c r="H53" s="6">
        <f>D53-G53</f>
        <v/>
      </c>
      <c r="I53" s="7" t="n">
        <v>600</v>
      </c>
      <c r="J53" s="6">
        <f>IF(I53&gt;0, ROUND((1-(I53/E53))*100, 1), F53)</f>
        <v/>
      </c>
      <c r="K53" s="6">
        <f>IF(AND(I53&gt;0, ISNUMBER(G53)), I53-G53, IF(I53&gt;0, I53*0.6, H53))</f>
        <v/>
      </c>
      <c r="L53" s="4" t="inlineStr">
        <is>
          <t>Specialized CLIA / partner outsourced parameter</t>
        </is>
      </c>
    </row>
    <row r="54" ht="20" customHeight="1">
      <c r="A54" s="8" t="inlineStr">
        <is>
          <t>web-050</t>
        </is>
      </c>
      <c r="B54" s="8" t="inlineStr">
        <is>
          <t>Thyroid TSH Test</t>
        </is>
      </c>
      <c r="C54" s="8" t="inlineStr">
        <is>
          <t>specialized</t>
        </is>
      </c>
      <c r="D54" s="9" t="n">
        <v>180</v>
      </c>
      <c r="E54" s="9" t="n">
        <v>180</v>
      </c>
      <c r="F54" s="9" t="n">
        <v>0</v>
      </c>
      <c r="G54" s="9" t="n">
        <v>50</v>
      </c>
      <c r="H54" s="10">
        <f>D54-G54</f>
        <v/>
      </c>
      <c r="I54" s="7" t="n">
        <v>180</v>
      </c>
      <c r="J54" s="10">
        <f>IF(I54&gt;0, ROUND((1-(I54/E54))*100, 1), F54)</f>
        <v/>
      </c>
      <c r="K54" s="10">
        <f>IF(AND(I54&gt;0, ISNUMBER(G54)), I54-G54, IF(I54&gt;0, I54*0.6, H54))</f>
        <v/>
      </c>
      <c r="L54" s="8" t="inlineStr">
        <is>
          <t>Routine in-house analyzer; low reagent marginal cost</t>
        </is>
      </c>
    </row>
    <row r="55" ht="20" customHeight="1">
      <c r="A55" s="4" t="inlineStr">
        <is>
          <t>web-051</t>
        </is>
      </c>
      <c r="B55" s="4" t="inlineStr">
        <is>
          <t>Total T3 (Triiodothyronine)</t>
        </is>
      </c>
      <c r="C55" s="4" t="inlineStr">
        <is>
          <t>specialized</t>
        </is>
      </c>
      <c r="D55" s="5" t="n">
        <v>180</v>
      </c>
      <c r="E55" s="5" t="n">
        <v>180</v>
      </c>
      <c r="F55" s="5" t="n">
        <v>0</v>
      </c>
      <c r="G55" s="4" t="inlineStr"/>
      <c r="H55" s="6">
        <f>D55*0.6</f>
        <v/>
      </c>
      <c r="I55" s="7" t="n">
        <v>180</v>
      </c>
      <c r="J55" s="6">
        <f>IF(I55&gt;0, ROUND((1-(I55/E55))*100, 1), F55)</f>
        <v/>
      </c>
      <c r="K55" s="6">
        <f>IF(AND(I55&gt;0, ISNUMBER(G55)), I55-G55, IF(I55&gt;0, I55*0.6, H55))</f>
        <v/>
      </c>
      <c r="L55" s="4" t="inlineStr">
        <is>
          <t>Routine in-house analyzer; low reagent marginal cost</t>
        </is>
      </c>
    </row>
    <row r="56" ht="20" customHeight="1">
      <c r="A56" s="8" t="inlineStr">
        <is>
          <t>web-052</t>
        </is>
      </c>
      <c r="B56" s="8" t="inlineStr">
        <is>
          <t>Total T4 (Thyroxine)</t>
        </is>
      </c>
      <c r="C56" s="8" t="inlineStr">
        <is>
          <t>specialized</t>
        </is>
      </c>
      <c r="D56" s="9" t="n">
        <v>180</v>
      </c>
      <c r="E56" s="9" t="n">
        <v>180</v>
      </c>
      <c r="F56" s="9" t="n">
        <v>0</v>
      </c>
      <c r="G56" s="8" t="inlineStr"/>
      <c r="H56" s="10">
        <f>D56*0.6</f>
        <v/>
      </c>
      <c r="I56" s="7" t="n">
        <v>180</v>
      </c>
      <c r="J56" s="10">
        <f>IF(I56&gt;0, ROUND((1-(I56/E56))*100, 1), F56)</f>
        <v/>
      </c>
      <c r="K56" s="10">
        <f>IF(AND(I56&gt;0, ISNUMBER(G56)), I56-G56, IF(I56&gt;0, I56*0.6, H56))</f>
        <v/>
      </c>
      <c r="L56" s="8" t="inlineStr">
        <is>
          <t>Routine in-house analyzer; low reagent marginal cost</t>
        </is>
      </c>
    </row>
    <row r="57" ht="20" customHeight="1">
      <c r="A57" s="4" t="inlineStr">
        <is>
          <t>web-053</t>
        </is>
      </c>
      <c r="B57" s="4" t="inlineStr">
        <is>
          <t>Free T3 (FT3)</t>
        </is>
      </c>
      <c r="C57" s="4" t="inlineStr">
        <is>
          <t>specialized</t>
        </is>
      </c>
      <c r="D57" s="5" t="n">
        <v>250</v>
      </c>
      <c r="E57" s="5" t="n">
        <v>250</v>
      </c>
      <c r="F57" s="5" t="n">
        <v>0</v>
      </c>
      <c r="G57" s="4" t="inlineStr"/>
      <c r="H57" s="6">
        <f>D57*0.6</f>
        <v/>
      </c>
      <c r="I57" s="7" t="n">
        <v>250</v>
      </c>
      <c r="J57" s="6">
        <f>IF(I57&gt;0, ROUND((1-(I57/E57))*100, 1), F57)</f>
        <v/>
      </c>
      <c r="K57" s="6">
        <f>IF(AND(I57&gt;0, ISNUMBER(G57)), I57-G57, IF(I57&gt;0, I57*0.6, H57))</f>
        <v/>
      </c>
      <c r="L57" s="4" t="inlineStr">
        <is>
          <t>Routine in-house analyzer; low reagent marginal cost</t>
        </is>
      </c>
    </row>
    <row r="58" ht="20" customHeight="1">
      <c r="A58" s="8" t="inlineStr">
        <is>
          <t>web-054</t>
        </is>
      </c>
      <c r="B58" s="8" t="inlineStr">
        <is>
          <t>Free T4 (FT4)</t>
        </is>
      </c>
      <c r="C58" s="8" t="inlineStr">
        <is>
          <t>specialized</t>
        </is>
      </c>
      <c r="D58" s="9" t="n">
        <v>250</v>
      </c>
      <c r="E58" s="9" t="n">
        <v>250</v>
      </c>
      <c r="F58" s="9" t="n">
        <v>0</v>
      </c>
      <c r="G58" s="8" t="inlineStr"/>
      <c r="H58" s="10">
        <f>D58*0.6</f>
        <v/>
      </c>
      <c r="I58" s="7" t="n">
        <v>250</v>
      </c>
      <c r="J58" s="10">
        <f>IF(I58&gt;0, ROUND((1-(I58/E58))*100, 1), F58)</f>
        <v/>
      </c>
      <c r="K58" s="10">
        <f>IF(AND(I58&gt;0, ISNUMBER(G58)), I58-G58, IF(I58&gt;0, I58*0.6, H58))</f>
        <v/>
      </c>
      <c r="L58" s="8" t="inlineStr">
        <is>
          <t>Routine in-house analyzer; low reagent marginal cost</t>
        </is>
      </c>
    </row>
    <row r="59" ht="20" customHeight="1">
      <c r="A59" s="4" t="inlineStr">
        <is>
          <t>web-055</t>
        </is>
      </c>
      <c r="B59" s="4" t="inlineStr">
        <is>
          <t>FSH (Follicle Stimulating Hormone)</t>
        </is>
      </c>
      <c r="C59" s="4" t="inlineStr">
        <is>
          <t>specialized</t>
        </is>
      </c>
      <c r="D59" s="5" t="n">
        <v>450</v>
      </c>
      <c r="E59" s="5" t="n">
        <v>450</v>
      </c>
      <c r="F59" s="5" t="n">
        <v>0</v>
      </c>
      <c r="G59" s="4" t="inlineStr"/>
      <c r="H59" s="6">
        <f>D59*0.6</f>
        <v/>
      </c>
      <c r="I59" s="7" t="n">
        <v>450</v>
      </c>
      <c r="J59" s="6">
        <f>IF(I59&gt;0, ROUND((1-(I59/E59))*100, 1), F59)</f>
        <v/>
      </c>
      <c r="K59" s="6">
        <f>IF(AND(I59&gt;0, ISNUMBER(G59)), I59-G59, IF(I59&gt;0, I59*0.6, H59))</f>
        <v/>
      </c>
      <c r="L59" s="4" t="inlineStr">
        <is>
          <t>Specialized CLIA / partner outsourced parameter</t>
        </is>
      </c>
    </row>
    <row r="60" ht="20" customHeight="1">
      <c r="A60" s="8" t="inlineStr">
        <is>
          <t>web-056</t>
        </is>
      </c>
      <c r="B60" s="8" t="inlineStr">
        <is>
          <t>LH (Luteinizing Hormone)</t>
        </is>
      </c>
      <c r="C60" s="8" t="inlineStr">
        <is>
          <t>specialized</t>
        </is>
      </c>
      <c r="D60" s="9" t="n">
        <v>450</v>
      </c>
      <c r="E60" s="9" t="n">
        <v>450</v>
      </c>
      <c r="F60" s="9" t="n">
        <v>0</v>
      </c>
      <c r="G60" s="8" t="inlineStr"/>
      <c r="H60" s="10">
        <f>D60*0.6</f>
        <v/>
      </c>
      <c r="I60" s="7" t="n">
        <v>450</v>
      </c>
      <c r="J60" s="10">
        <f>IF(I60&gt;0, ROUND((1-(I60/E60))*100, 1), F60)</f>
        <v/>
      </c>
      <c r="K60" s="10">
        <f>IF(AND(I60&gt;0, ISNUMBER(G60)), I60-G60, IF(I60&gt;0, I60*0.6, H60))</f>
        <v/>
      </c>
      <c r="L60" s="8" t="inlineStr">
        <is>
          <t>Specialized CLIA / partner outsourced parameter</t>
        </is>
      </c>
    </row>
    <row r="61" ht="20" customHeight="1">
      <c r="A61" s="4" t="inlineStr">
        <is>
          <t>web-057</t>
        </is>
      </c>
      <c r="B61" s="4" t="inlineStr">
        <is>
          <t>Prolactin Hormone Test</t>
        </is>
      </c>
      <c r="C61" s="4" t="inlineStr">
        <is>
          <t>specialized</t>
        </is>
      </c>
      <c r="D61" s="5" t="n">
        <v>450</v>
      </c>
      <c r="E61" s="5" t="n">
        <v>450</v>
      </c>
      <c r="F61" s="5" t="n">
        <v>0</v>
      </c>
      <c r="G61" s="4" t="inlineStr"/>
      <c r="H61" s="6">
        <f>D61*0.6</f>
        <v/>
      </c>
      <c r="I61" s="7" t="n">
        <v>450</v>
      </c>
      <c r="J61" s="6">
        <f>IF(I61&gt;0, ROUND((1-(I61/E61))*100, 1), F61)</f>
        <v/>
      </c>
      <c r="K61" s="6">
        <f>IF(AND(I61&gt;0, ISNUMBER(G61)), I61-G61, IF(I61&gt;0, I61*0.6, H61))</f>
        <v/>
      </c>
      <c r="L61" s="4" t="inlineStr">
        <is>
          <t>Specialized CLIA / partner outsourced parameter</t>
        </is>
      </c>
    </row>
    <row r="62" ht="20" customHeight="1">
      <c r="A62" s="8" t="inlineStr">
        <is>
          <t>web-058</t>
        </is>
      </c>
      <c r="B62" s="8" t="inlineStr">
        <is>
          <t>Total Testosterone Test</t>
        </is>
      </c>
      <c r="C62" s="8" t="inlineStr">
        <is>
          <t>specialized</t>
        </is>
      </c>
      <c r="D62" s="9" t="n">
        <v>550</v>
      </c>
      <c r="E62" s="9" t="n">
        <v>550</v>
      </c>
      <c r="F62" s="9" t="n">
        <v>0</v>
      </c>
      <c r="G62" s="9" t="n">
        <v>200</v>
      </c>
      <c r="H62" s="10">
        <f>D62-G62</f>
        <v/>
      </c>
      <c r="I62" s="7" t="n">
        <v>550</v>
      </c>
      <c r="J62" s="10">
        <f>IF(I62&gt;0, ROUND((1-(I62/E62))*100, 1), F62)</f>
        <v/>
      </c>
      <c r="K62" s="10">
        <f>IF(AND(I62&gt;0, ISNUMBER(G62)), I62-G62, IF(I62&gt;0, I62*0.6, H62))</f>
        <v/>
      </c>
      <c r="L62" s="8" t="inlineStr">
        <is>
          <t>Specialized CLIA / partner outsourced parameter</t>
        </is>
      </c>
    </row>
    <row r="63" ht="20" customHeight="1">
      <c r="A63" s="4" t="inlineStr">
        <is>
          <t>web-059</t>
        </is>
      </c>
      <c r="B63" s="4" t="inlineStr">
        <is>
          <t>Beta-hCG (Pregnancy Blood Test)</t>
        </is>
      </c>
      <c r="C63" s="4" t="inlineStr">
        <is>
          <t>specialized</t>
        </is>
      </c>
      <c r="D63" s="5" t="n">
        <v>550</v>
      </c>
      <c r="E63" s="5" t="n">
        <v>550</v>
      </c>
      <c r="F63" s="5" t="n">
        <v>0</v>
      </c>
      <c r="G63" s="5" t="n">
        <v>500</v>
      </c>
      <c r="H63" s="6">
        <f>D63-G63</f>
        <v/>
      </c>
      <c r="I63" s="7" t="n">
        <v>550</v>
      </c>
      <c r="J63" s="6">
        <f>IF(I63&gt;0, ROUND((1-(I63/E63))*100, 1), F63)</f>
        <v/>
      </c>
      <c r="K63" s="6">
        <f>IF(AND(I63&gt;0, ISNUMBER(G63)), I63-G63, IF(I63&gt;0, I63*0.6, H63))</f>
        <v/>
      </c>
      <c r="L63" s="4" t="inlineStr">
        <is>
          <t>Specialized CLIA / partner outsourced parameter</t>
        </is>
      </c>
    </row>
    <row r="64" ht="20" customHeight="1">
      <c r="A64" s="8" t="inlineStr">
        <is>
          <t>web-060</t>
        </is>
      </c>
      <c r="B64" s="8" t="inlineStr">
        <is>
          <t>AMH (Anti-Mullerian Hormone)</t>
        </is>
      </c>
      <c r="C64" s="8" t="inlineStr">
        <is>
          <t>specialized</t>
        </is>
      </c>
      <c r="D64" s="9" t="n">
        <v>1850</v>
      </c>
      <c r="E64" s="9" t="n">
        <v>1850</v>
      </c>
      <c r="F64" s="9" t="n">
        <v>0</v>
      </c>
      <c r="G64" s="9" t="n">
        <v>600</v>
      </c>
      <c r="H64" s="10">
        <f>D64-G64</f>
        <v/>
      </c>
      <c r="I64" s="7" t="n">
        <v>1850</v>
      </c>
      <c r="J64" s="10">
        <f>IF(I64&gt;0, ROUND((1-(I64/E64))*100, 1), F64)</f>
        <v/>
      </c>
      <c r="K64" s="10">
        <f>IF(AND(I64&gt;0, ISNUMBER(G64)), I64-G64, IF(I64&gt;0, I64*0.6, H64))</f>
        <v/>
      </c>
      <c r="L64" s="8" t="inlineStr">
        <is>
          <t>Specialized CLIA / partner outsourced parameter</t>
        </is>
      </c>
    </row>
    <row r="65" ht="20" customHeight="1">
      <c r="A65" s="4" t="inlineStr">
        <is>
          <t>web-061</t>
        </is>
      </c>
      <c r="B65" s="4" t="inlineStr">
        <is>
          <t>Estradiol (E2) Hormone Test</t>
        </is>
      </c>
      <c r="C65" s="4" t="inlineStr">
        <is>
          <t>specialized</t>
        </is>
      </c>
      <c r="D65" s="5" t="n">
        <v>650</v>
      </c>
      <c r="E65" s="5" t="n">
        <v>650</v>
      </c>
      <c r="F65" s="5" t="n">
        <v>0</v>
      </c>
      <c r="G65" s="4" t="inlineStr"/>
      <c r="H65" s="6">
        <f>D65*0.6</f>
        <v/>
      </c>
      <c r="I65" s="7" t="n">
        <v>650</v>
      </c>
      <c r="J65" s="6">
        <f>IF(I65&gt;0, ROUND((1-(I65/E65))*100, 1), F65)</f>
        <v/>
      </c>
      <c r="K65" s="6">
        <f>IF(AND(I65&gt;0, ISNUMBER(G65)), I65-G65, IF(I65&gt;0, I65*0.6, H65))</f>
        <v/>
      </c>
      <c r="L65" s="4" t="inlineStr">
        <is>
          <t>Specialized CLIA / partner outsourced parameter</t>
        </is>
      </c>
    </row>
    <row r="66" ht="20" customHeight="1">
      <c r="A66" s="8" t="inlineStr">
        <is>
          <t>web-062</t>
        </is>
      </c>
      <c r="B66" s="8" t="inlineStr">
        <is>
          <t>PSA (Prostate Specific Antigen)</t>
        </is>
      </c>
      <c r="C66" s="8" t="inlineStr">
        <is>
          <t>specialized</t>
        </is>
      </c>
      <c r="D66" s="9" t="n">
        <v>750</v>
      </c>
      <c r="E66" s="9" t="n">
        <v>750</v>
      </c>
      <c r="F66" s="9" t="n">
        <v>0</v>
      </c>
      <c r="G66" s="8" t="inlineStr"/>
      <c r="H66" s="10">
        <f>D66*0.6</f>
        <v/>
      </c>
      <c r="I66" s="7" t="n">
        <v>750</v>
      </c>
      <c r="J66" s="10">
        <f>IF(I66&gt;0, ROUND((1-(I66/E66))*100, 1), F66)</f>
        <v/>
      </c>
      <c r="K66" s="10">
        <f>IF(AND(I66&gt;0, ISNUMBER(G66)), I66-G66, IF(I66&gt;0, I66*0.6, H66))</f>
        <v/>
      </c>
      <c r="L66" s="8" t="inlineStr">
        <is>
          <t>Specialized CLIA / partner outsourced parameter</t>
        </is>
      </c>
    </row>
    <row r="67" ht="20" customHeight="1">
      <c r="A67" s="4" t="inlineStr">
        <is>
          <t>web-063</t>
        </is>
      </c>
      <c r="B67" s="4" t="inlineStr">
        <is>
          <t>CA 19.9 Tumor Marker</t>
        </is>
      </c>
      <c r="C67" s="4" t="inlineStr">
        <is>
          <t>specialized</t>
        </is>
      </c>
      <c r="D67" s="5" t="n">
        <v>1250</v>
      </c>
      <c r="E67" s="5" t="n">
        <v>1250</v>
      </c>
      <c r="F67" s="5" t="n">
        <v>0</v>
      </c>
      <c r="G67" s="4" t="inlineStr"/>
      <c r="H67" s="6">
        <f>D67*0.6</f>
        <v/>
      </c>
      <c r="I67" s="7" t="n">
        <v>1250</v>
      </c>
      <c r="J67" s="6">
        <f>IF(I67&gt;0, ROUND((1-(I67/E67))*100, 1), F67)</f>
        <v/>
      </c>
      <c r="K67" s="6">
        <f>IF(AND(I67&gt;0, ISNUMBER(G67)), I67-G67, IF(I67&gt;0, I67*0.6, H67))</f>
        <v/>
      </c>
      <c r="L67" s="4" t="inlineStr">
        <is>
          <t>Specialized CLIA / partner outsourced parameter</t>
        </is>
      </c>
    </row>
    <row r="68" ht="20" customHeight="1">
      <c r="A68" s="8" t="inlineStr">
        <is>
          <t>web-064</t>
        </is>
      </c>
      <c r="B68" s="8" t="inlineStr">
        <is>
          <t>Vitamin D (25-OH) Test</t>
        </is>
      </c>
      <c r="C68" s="8" t="inlineStr">
        <is>
          <t>specialized</t>
        </is>
      </c>
      <c r="D68" s="9" t="n">
        <v>1050</v>
      </c>
      <c r="E68" s="9" t="n">
        <v>1050</v>
      </c>
      <c r="F68" s="9" t="n">
        <v>0</v>
      </c>
      <c r="G68" s="8" t="inlineStr"/>
      <c r="H68" s="10">
        <f>D68*0.6</f>
        <v/>
      </c>
      <c r="I68" s="7" t="n">
        <v>1050</v>
      </c>
      <c r="J68" s="10">
        <f>IF(I68&gt;0, ROUND((1-(I68/E68))*100, 1), F68)</f>
        <v/>
      </c>
      <c r="K68" s="10">
        <f>IF(AND(I68&gt;0, ISNUMBER(G68)), I68-G68, IF(I68&gt;0, I68*0.6, H68))</f>
        <v/>
      </c>
      <c r="L68" s="8" t="inlineStr">
        <is>
          <t>Specialized CLIA / partner outsourced parameter</t>
        </is>
      </c>
    </row>
    <row r="69" ht="20" customHeight="1">
      <c r="A69" s="4" t="inlineStr">
        <is>
          <t>web-065</t>
        </is>
      </c>
      <c r="B69" s="4" t="inlineStr">
        <is>
          <t>Vitamin B12 Test</t>
        </is>
      </c>
      <c r="C69" s="4" t="inlineStr">
        <is>
          <t>specialized</t>
        </is>
      </c>
      <c r="D69" s="5" t="n">
        <v>750</v>
      </c>
      <c r="E69" s="5" t="n">
        <v>750</v>
      </c>
      <c r="F69" s="5" t="n">
        <v>0</v>
      </c>
      <c r="G69" s="4" t="inlineStr"/>
      <c r="H69" s="6">
        <f>D69*0.6</f>
        <v/>
      </c>
      <c r="I69" s="7" t="n">
        <v>750</v>
      </c>
      <c r="J69" s="6">
        <f>IF(I69&gt;0, ROUND((1-(I69/E69))*100, 1), F69)</f>
        <v/>
      </c>
      <c r="K69" s="6">
        <f>IF(AND(I69&gt;0, ISNUMBER(G69)), I69-G69, IF(I69&gt;0, I69*0.6, H69))</f>
        <v/>
      </c>
      <c r="L69" s="4" t="inlineStr">
        <is>
          <t>Specialized CLIA / partner outsourced parameter</t>
        </is>
      </c>
    </row>
    <row r="70" ht="20" customHeight="1">
      <c r="A70" s="8" t="inlineStr">
        <is>
          <t>web-066</t>
        </is>
      </c>
      <c r="B70" s="8" t="inlineStr">
        <is>
          <t>CRP (C-Reactive Protein - Quantitative)</t>
        </is>
      </c>
      <c r="C70" s="8" t="inlineStr">
        <is>
          <t>specialized</t>
        </is>
      </c>
      <c r="D70" s="9" t="n">
        <v>550</v>
      </c>
      <c r="E70" s="9" t="n">
        <v>550</v>
      </c>
      <c r="F70" s="9" t="n">
        <v>0</v>
      </c>
      <c r="G70" s="8" t="inlineStr"/>
      <c r="H70" s="10">
        <f>D70*0.6</f>
        <v/>
      </c>
      <c r="I70" s="7" t="n">
        <v>550</v>
      </c>
      <c r="J70" s="10">
        <f>IF(I70&gt;0, ROUND((1-(I70/E70))*100, 1), F70)</f>
        <v/>
      </c>
      <c r="K70" s="10">
        <f>IF(AND(I70&gt;0, ISNUMBER(G70)), I70-G70, IF(I70&gt;0, I70*0.6, H70))</f>
        <v/>
      </c>
      <c r="L70" s="8" t="inlineStr">
        <is>
          <t>Specialized CLIA / partner outsourced parameter</t>
        </is>
      </c>
    </row>
    <row r="71" ht="20" customHeight="1">
      <c r="A71" s="4" t="inlineStr">
        <is>
          <t>web-067</t>
        </is>
      </c>
      <c r="B71" s="4" t="inlineStr">
        <is>
          <t>RA Factor (Rheumatoid Arthritis Test)</t>
        </is>
      </c>
      <c r="C71" s="4" t="inlineStr">
        <is>
          <t>specialized</t>
        </is>
      </c>
      <c r="D71" s="5" t="n">
        <v>550</v>
      </c>
      <c r="E71" s="5" t="n">
        <v>550</v>
      </c>
      <c r="F71" s="5" t="n">
        <v>0</v>
      </c>
      <c r="G71" s="5" t="n">
        <v>6</v>
      </c>
      <c r="H71" s="6">
        <f>D71-G71</f>
        <v/>
      </c>
      <c r="I71" s="7" t="n">
        <v>550</v>
      </c>
      <c r="J71" s="6">
        <f>IF(I71&gt;0, ROUND((1-(I71/E71))*100, 1), F71)</f>
        <v/>
      </c>
      <c r="K71" s="6">
        <f>IF(AND(I71&gt;0, ISNUMBER(G71)), I71-G71, IF(I71&gt;0, I71*0.6, H71))</f>
        <v/>
      </c>
      <c r="L71" s="4" t="inlineStr">
        <is>
          <t>Specialized CLIA / partner outsourced parameter</t>
        </is>
      </c>
    </row>
    <row r="72" ht="20" customHeight="1">
      <c r="A72" s="8" t="inlineStr">
        <is>
          <t>web-068</t>
        </is>
      </c>
      <c r="B72" s="8" t="inlineStr">
        <is>
          <t>Total IgE (Allergy Antibody Test)</t>
        </is>
      </c>
      <c r="C72" s="8" t="inlineStr">
        <is>
          <t>specialized</t>
        </is>
      </c>
      <c r="D72" s="9" t="n">
        <v>650</v>
      </c>
      <c r="E72" s="9" t="n">
        <v>650</v>
      </c>
      <c r="F72" s="9" t="n">
        <v>0</v>
      </c>
      <c r="G72" s="8" t="inlineStr"/>
      <c r="H72" s="10">
        <f>D72*0.6</f>
        <v/>
      </c>
      <c r="I72" s="7" t="n">
        <v>650</v>
      </c>
      <c r="J72" s="10">
        <f>IF(I72&gt;0, ROUND((1-(I72/E72))*100, 1), F72)</f>
        <v/>
      </c>
      <c r="K72" s="10">
        <f>IF(AND(I72&gt;0, ISNUMBER(G72)), I72-G72, IF(I72&gt;0, I72*0.6, H72))</f>
        <v/>
      </c>
      <c r="L72" s="8" t="inlineStr">
        <is>
          <t>Specialized CLIA / partner outsourced parameter</t>
        </is>
      </c>
    </row>
    <row r="73" ht="20" customHeight="1">
      <c r="A73" s="4" t="inlineStr">
        <is>
          <t>web-069</t>
        </is>
      </c>
      <c r="B73" s="4" t="inlineStr">
        <is>
          <t>tTG-IgA (Celiac Disease Test)</t>
        </is>
      </c>
      <c r="C73" s="4" t="inlineStr">
        <is>
          <t>specialized</t>
        </is>
      </c>
      <c r="D73" s="5" t="n">
        <v>1100</v>
      </c>
      <c r="E73" s="5" t="n">
        <v>1100</v>
      </c>
      <c r="F73" s="5" t="n">
        <v>0</v>
      </c>
      <c r="G73" s="5" t="n">
        <v>300</v>
      </c>
      <c r="H73" s="6">
        <f>D73-G73</f>
        <v/>
      </c>
      <c r="I73" s="7" t="n">
        <v>1100</v>
      </c>
      <c r="J73" s="6">
        <f>IF(I73&gt;0, ROUND((1-(I73/E73))*100, 1), F73)</f>
        <v/>
      </c>
      <c r="K73" s="6">
        <f>IF(AND(I73&gt;0, ISNUMBER(G73)), I73-G73, IF(I73&gt;0, I73*0.6, H73))</f>
        <v/>
      </c>
      <c r="L73" s="4" t="inlineStr">
        <is>
          <t>Specialized CLIA / partner outsourced parameter</t>
        </is>
      </c>
    </row>
    <row r="74" ht="20" customHeight="1">
      <c r="A74" s="8" t="inlineStr">
        <is>
          <t>web-070</t>
        </is>
      </c>
      <c r="B74" s="8" t="inlineStr">
        <is>
          <t>Dengue NS1 Antigen Test</t>
        </is>
      </c>
      <c r="C74" s="8" t="inlineStr">
        <is>
          <t>specialized</t>
        </is>
      </c>
      <c r="D74" s="9" t="n">
        <v>650</v>
      </c>
      <c r="E74" s="9" t="n">
        <v>650</v>
      </c>
      <c r="F74" s="9" t="n">
        <v>0</v>
      </c>
      <c r="G74" s="8" t="inlineStr"/>
      <c r="H74" s="10">
        <f>D74*0.6</f>
        <v/>
      </c>
      <c r="I74" s="7" t="n">
        <v>650</v>
      </c>
      <c r="J74" s="10">
        <f>IF(I74&gt;0, ROUND((1-(I74/E74))*100, 1), F74)</f>
        <v/>
      </c>
      <c r="K74" s="10">
        <f>IF(AND(I74&gt;0, ISNUMBER(G74)), I74-G74, IF(I74&gt;0, I74*0.6, H74))</f>
        <v/>
      </c>
      <c r="L74" s="8" t="inlineStr">
        <is>
          <t>Specialized CLIA / partner outsourced parameter</t>
        </is>
      </c>
    </row>
    <row r="75" ht="20" customHeight="1">
      <c r="A75" s="4" t="inlineStr">
        <is>
          <t>web-071</t>
        </is>
      </c>
      <c r="B75" s="4" t="inlineStr">
        <is>
          <t>Dengue IgG Antibody Test</t>
        </is>
      </c>
      <c r="C75" s="4" t="inlineStr">
        <is>
          <t>specialized</t>
        </is>
      </c>
      <c r="D75" s="5" t="n">
        <v>650</v>
      </c>
      <c r="E75" s="5" t="n">
        <v>650</v>
      </c>
      <c r="F75" s="5" t="n">
        <v>0</v>
      </c>
      <c r="G75" s="4" t="inlineStr"/>
      <c r="H75" s="6">
        <f>D75*0.6</f>
        <v/>
      </c>
      <c r="I75" s="7" t="n">
        <v>650</v>
      </c>
      <c r="J75" s="6">
        <f>IF(I75&gt;0, ROUND((1-(I75/E75))*100, 1), F75)</f>
        <v/>
      </c>
      <c r="K75" s="6">
        <f>IF(AND(I75&gt;0, ISNUMBER(G75)), I75-G75, IF(I75&gt;0, I75*0.6, H75))</f>
        <v/>
      </c>
      <c r="L75" s="4" t="inlineStr">
        <is>
          <t>Specialized CLIA / partner outsourced parameter</t>
        </is>
      </c>
    </row>
    <row r="76" ht="20" customHeight="1">
      <c r="A76" s="8" t="inlineStr">
        <is>
          <t>web-072</t>
        </is>
      </c>
      <c r="B76" s="8" t="inlineStr">
        <is>
          <t>Dengue IgM Antibody Test</t>
        </is>
      </c>
      <c r="C76" s="8" t="inlineStr">
        <is>
          <t>specialized</t>
        </is>
      </c>
      <c r="D76" s="9" t="n">
        <v>650</v>
      </c>
      <c r="E76" s="9" t="n">
        <v>650</v>
      </c>
      <c r="F76" s="9" t="n">
        <v>0</v>
      </c>
      <c r="G76" s="8" t="inlineStr"/>
      <c r="H76" s="10">
        <f>D76*0.6</f>
        <v/>
      </c>
      <c r="I76" s="7" t="n">
        <v>650</v>
      </c>
      <c r="J76" s="10">
        <f>IF(I76&gt;0, ROUND((1-(I76/E76))*100, 1), F76)</f>
        <v/>
      </c>
      <c r="K76" s="10">
        <f>IF(AND(I76&gt;0, ISNUMBER(G76)), I76-G76, IF(I76&gt;0, I76*0.6, H76))</f>
        <v/>
      </c>
      <c r="L76" s="8" t="inlineStr">
        <is>
          <t>Specialized CLIA / partner outsourced parameter</t>
        </is>
      </c>
    </row>
    <row r="77" ht="20" customHeight="1">
      <c r="A77" s="4" t="inlineStr">
        <is>
          <t>web-073</t>
        </is>
      </c>
      <c r="B77" s="4" t="inlineStr">
        <is>
          <t>Widal Typhoid Test</t>
        </is>
      </c>
      <c r="C77" s="4" t="inlineStr">
        <is>
          <t>specialized</t>
        </is>
      </c>
      <c r="D77" s="5" t="n">
        <v>150</v>
      </c>
      <c r="E77" s="5" t="n">
        <v>150</v>
      </c>
      <c r="F77" s="5" t="n">
        <v>0</v>
      </c>
      <c r="G77" s="4" t="inlineStr"/>
      <c r="H77" s="6">
        <f>D77*0.6</f>
        <v/>
      </c>
      <c r="I77" s="7" t="n">
        <v>150</v>
      </c>
      <c r="J77" s="6">
        <f>IF(I77&gt;0, ROUND((1-(I77/E77))*100, 1), F77)</f>
        <v/>
      </c>
      <c r="K77" s="6">
        <f>IF(AND(I77&gt;0, ISNUMBER(G77)), I77-G77, IF(I77&gt;0, I77*0.6, H77))</f>
        <v/>
      </c>
      <c r="L77" s="4" t="inlineStr">
        <is>
          <t>Routine in-house analyzer; low reagent marginal cost</t>
        </is>
      </c>
    </row>
    <row r="78" ht="20" customHeight="1">
      <c r="A78" s="8" t="inlineStr">
        <is>
          <t>web-074</t>
        </is>
      </c>
      <c r="B78" s="8" t="inlineStr">
        <is>
          <t>Malaria Antigen Test</t>
        </is>
      </c>
      <c r="C78" s="8" t="inlineStr">
        <is>
          <t>specialized</t>
        </is>
      </c>
      <c r="D78" s="9" t="n">
        <v>250</v>
      </c>
      <c r="E78" s="9" t="n">
        <v>250</v>
      </c>
      <c r="F78" s="9" t="n">
        <v>0</v>
      </c>
      <c r="G78" s="8" t="inlineStr"/>
      <c r="H78" s="10">
        <f>D78*0.6</f>
        <v/>
      </c>
      <c r="I78" s="7" t="n">
        <v>250</v>
      </c>
      <c r="J78" s="10">
        <f>IF(I78&gt;0, ROUND((1-(I78/E78))*100, 1), F78)</f>
        <v/>
      </c>
      <c r="K78" s="10">
        <f>IF(AND(I78&gt;0, ISNUMBER(G78)), I78-G78, IF(I78&gt;0, I78*0.6, H78))</f>
        <v/>
      </c>
      <c r="L78" s="8" t="inlineStr">
        <is>
          <t>Routine in-house analyzer; low reagent marginal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8" customWidth="1" min="2" max="2"/>
    <col width="29" customWidth="1" min="3" max="3"/>
    <col width="31" customWidth="1" min="4" max="4"/>
    <col width="41" customWidth="1" min="5" max="5"/>
    <col width="38" customWidth="1" min="6" max="6"/>
    <col width="27" customWidth="1" min="7" max="7"/>
    <col width="18" customWidth="1" min="8" max="8"/>
  </cols>
  <sheetData>
    <row r="1" ht="24" customHeight="1">
      <c r="A1" s="1" t="inlineStr">
        <is>
          <t>B2B OUTSOURCING &amp; REFERENCE COST LIST</t>
        </is>
      </c>
    </row>
    <row r="2" ht="18" customHeight="1">
      <c r="A2" s="2" t="inlineStr">
        <is>
          <t>Contracted Net Laboratory Costs from Extraction Sheet (Use to protect minimum gross margins)</t>
        </is>
      </c>
    </row>
    <row r="3"/>
    <row r="4" ht="28" customHeight="1">
      <c r="A4" s="11" t="inlineStr">
        <is>
          <t>S.No</t>
        </is>
      </c>
      <c r="B4" s="11" t="inlineStr">
        <is>
          <t>Standardized Test Name</t>
        </is>
      </c>
      <c r="C4" s="11" t="inlineStr">
        <is>
          <t>Standard Hospital MRP (₹)</t>
        </is>
      </c>
      <c r="D4" s="11" t="inlineStr">
        <is>
          <t>Contracted B2B Net Cost (₹)</t>
        </is>
      </c>
      <c r="E4" s="11" t="inlineStr">
        <is>
          <t>Minimum Retail Floor (₹) [Cost + 60%]</t>
        </is>
      </c>
      <c r="F4" s="11" t="inlineStr">
        <is>
          <t>Suggested Walk-in Patient Rate (₹)</t>
        </is>
      </c>
      <c r="G4" s="11" t="inlineStr">
        <is>
          <t>Target Gross Profit (₹)</t>
        </is>
      </c>
      <c r="H4" s="11" t="inlineStr">
        <is>
          <t>Gross Margin %</t>
        </is>
      </c>
    </row>
    <row r="5" ht="20" customHeight="1">
      <c r="A5" s="5" t="n">
        <v>1</v>
      </c>
      <c r="B5" s="4" t="inlineStr">
        <is>
          <t>Thyroid Stimulating Hormone (TSH) Ultrasensitive</t>
        </is>
      </c>
      <c r="C5" s="5" t="n">
        <v>300</v>
      </c>
      <c r="D5" s="5" t="n">
        <v>50</v>
      </c>
      <c r="E5" s="6">
        <f>ROUND(D5*1.6, 0)</f>
        <v/>
      </c>
      <c r="F5" s="6">
        <f>ROUND(IF(D5&lt;=150, D5*2.5, IF(D5&lt;=500, D5*2.0, D5*1.7)), -1)</f>
        <v/>
      </c>
      <c r="G5" s="6">
        <f>F5-D5</f>
        <v/>
      </c>
      <c r="H5" s="6">
        <f>ROUND((G5/F5)*100, 1)</f>
        <v/>
      </c>
    </row>
    <row r="6" ht="20" customHeight="1">
      <c r="A6" s="9" t="n">
        <v>2</v>
      </c>
      <c r="B6" s="8" t="inlineStr">
        <is>
          <t>T3, T4 &amp; TSH (Ultrasensitive)</t>
        </is>
      </c>
      <c r="C6" s="9" t="n">
        <v>600</v>
      </c>
      <c r="D6" s="9" t="n">
        <v>100</v>
      </c>
      <c r="E6" s="10">
        <f>ROUND(D6*1.6, 0)</f>
        <v/>
      </c>
      <c r="F6" s="10">
        <f>ROUND(IF(D6&lt;=150, D6*2.5, IF(D6&lt;=500, D6*2.0, D6*1.7)), -1)</f>
        <v/>
      </c>
      <c r="G6" s="10">
        <f>F6-D6</f>
        <v/>
      </c>
      <c r="H6" s="10">
        <f>ROUND((G6/F6)*100, 1)</f>
        <v/>
      </c>
    </row>
    <row r="7" ht="20" customHeight="1">
      <c r="A7" s="5" t="n">
        <v>3</v>
      </c>
      <c r="B7" s="4" t="inlineStr">
        <is>
          <t>TSH, FT3 &amp; FT4</t>
        </is>
      </c>
      <c r="C7" s="5" t="n">
        <v>700</v>
      </c>
      <c r="D7" s="5" t="n">
        <v>180</v>
      </c>
      <c r="E7" s="6">
        <f>ROUND(D7*1.6, 0)</f>
        <v/>
      </c>
      <c r="F7" s="6">
        <f>ROUND(IF(D7&lt;=150, D7*2.5, IF(D7&lt;=500, D7*2.0, D7*1.7)), -1)</f>
        <v/>
      </c>
      <c r="G7" s="6">
        <f>F7-D7</f>
        <v/>
      </c>
      <c r="H7" s="6">
        <f>ROUND((G7/F7)*100, 1)</f>
        <v/>
      </c>
    </row>
    <row r="8" ht="20" customHeight="1">
      <c r="A8" s="9" t="n">
        <v>4</v>
      </c>
      <c r="B8" s="8" t="inlineStr">
        <is>
          <t>Anti-CCP</t>
        </is>
      </c>
      <c r="C8" s="9" t="n">
        <v>1250</v>
      </c>
      <c r="D8" s="9" t="n">
        <v>350</v>
      </c>
      <c r="E8" s="10">
        <f>ROUND(D8*1.6, 0)</f>
        <v/>
      </c>
      <c r="F8" s="10">
        <f>ROUND(IF(D8&lt;=150, D8*2.5, IF(D8&lt;=500, D8*2.0, D8*1.7)), -1)</f>
        <v/>
      </c>
      <c r="G8" s="10">
        <f>F8-D8</f>
        <v/>
      </c>
      <c r="H8" s="10">
        <f>ROUND((G8/F8)*100, 1)</f>
        <v/>
      </c>
    </row>
    <row r="9" ht="20" customHeight="1">
      <c r="A9" s="5" t="n">
        <v>5</v>
      </c>
      <c r="B9" s="4" t="inlineStr">
        <is>
          <t>RA Factor (Quantitative)</t>
        </is>
      </c>
      <c r="C9" s="5" t="n">
        <v>550</v>
      </c>
      <c r="D9" s="5" t="n">
        <v>6</v>
      </c>
      <c r="E9" s="6">
        <f>ROUND(D9*1.6, 0)</f>
        <v/>
      </c>
      <c r="F9" s="6">
        <f>ROUND(IF(D9&lt;=150, D9*2.5, IF(D9&lt;=500, D9*2.0, D9*1.7)), -1)</f>
        <v/>
      </c>
      <c r="G9" s="6">
        <f>F9-D9</f>
        <v/>
      </c>
      <c r="H9" s="6">
        <f>ROUND((G9/F9)*100, 1)</f>
        <v/>
      </c>
    </row>
    <row r="10" ht="20" customHeight="1">
      <c r="A10" s="9" t="n">
        <v>380</v>
      </c>
      <c r="B10" s="8" t="inlineStr">
        <is>
          <t>150</t>
        </is>
      </c>
      <c r="C10" s="9" t="n">
        <v>7</v>
      </c>
      <c r="D10" s="9" t="n">
        <v>0</v>
      </c>
      <c r="E10" s="10">
        <f>ROUND(D10*1.6, 0)</f>
        <v/>
      </c>
      <c r="F10" s="10">
        <f>ROUND(IF(D10&lt;=150, D10*2.5, IF(D10&lt;=500, D10*2.0, D10*1.7)), -1)</f>
        <v/>
      </c>
      <c r="G10" s="10">
        <f>F10-D10</f>
        <v/>
      </c>
      <c r="H10" s="10">
        <f>ROUND((G10/F10)*100, 1)</f>
        <v/>
      </c>
    </row>
    <row r="11" ht="20" customHeight="1">
      <c r="A11" s="5" t="n">
        <v>450</v>
      </c>
      <c r="B11" s="4" t="inlineStr">
        <is>
          <t>120</t>
        </is>
      </c>
      <c r="C11" s="5" t="n">
        <v>8</v>
      </c>
      <c r="D11" s="5" t="n">
        <v>0</v>
      </c>
      <c r="E11" s="6">
        <f>ROUND(D11*1.6, 0)</f>
        <v/>
      </c>
      <c r="F11" s="6">
        <f>ROUND(IF(D11&lt;=150, D11*2.5, IF(D11&lt;=500, D11*2.0, D11*1.7)), -1)</f>
        <v/>
      </c>
      <c r="G11" s="6">
        <f>F11-D11</f>
        <v/>
      </c>
      <c r="H11" s="6">
        <f>ROUND((G11/F11)*100, 1)</f>
        <v/>
      </c>
    </row>
    <row r="12" ht="20" customHeight="1">
      <c r="A12" s="9" t="n">
        <v>450</v>
      </c>
      <c r="B12" s="8" t="inlineStr">
        <is>
          <t>120</t>
        </is>
      </c>
      <c r="C12" s="9" t="n">
        <v>9</v>
      </c>
      <c r="D12" s="9" t="n">
        <v>0</v>
      </c>
      <c r="E12" s="10">
        <f>ROUND(D12*1.6, 0)</f>
        <v/>
      </c>
      <c r="F12" s="10">
        <f>ROUND(IF(D12&lt;=150, D12*2.5, IF(D12&lt;=500, D12*2.0, D12*1.7)), -1)</f>
        <v/>
      </c>
      <c r="G12" s="10">
        <f>F12-D12</f>
        <v/>
      </c>
      <c r="H12" s="10">
        <f>ROUND((G12/F12)*100, 1)</f>
        <v/>
      </c>
    </row>
    <row r="13" ht="20" customHeight="1">
      <c r="A13" s="5" t="n">
        <v>450</v>
      </c>
      <c r="B13" s="4" t="inlineStr">
        <is>
          <t>120</t>
        </is>
      </c>
      <c r="C13" s="5" t="n">
        <v>10</v>
      </c>
      <c r="D13" s="5" t="n">
        <v>0</v>
      </c>
      <c r="E13" s="6">
        <f>ROUND(D13*1.6, 0)</f>
        <v/>
      </c>
      <c r="F13" s="6">
        <f>ROUND(IF(D13&lt;=150, D13*2.5, IF(D13&lt;=500, D13*2.0, D13*1.7)), -1)</f>
        <v/>
      </c>
      <c r="G13" s="6">
        <f>F13-D13</f>
        <v/>
      </c>
      <c r="H13" s="6">
        <f>ROUND((G13/F13)*100, 1)</f>
        <v/>
      </c>
    </row>
    <row r="14" ht="20" customHeight="1">
      <c r="A14" s="9" t="n">
        <v>550</v>
      </c>
      <c r="B14" s="8" t="inlineStr">
        <is>
          <t>180</t>
        </is>
      </c>
      <c r="C14" s="9" t="n">
        <v>11</v>
      </c>
      <c r="D14" s="9" t="n">
        <v>0</v>
      </c>
      <c r="E14" s="10">
        <f>ROUND(D14*1.6, 0)</f>
        <v/>
      </c>
      <c r="F14" s="10">
        <f>ROUND(IF(D14&lt;=150, D14*2.5, IF(D14&lt;=500, D14*2.0, D14*1.7)), -1)</f>
        <v/>
      </c>
      <c r="G14" s="10">
        <f>F14-D14</f>
        <v/>
      </c>
      <c r="H14" s="10">
        <f>ROUND((G14/F14)*100, 1)</f>
        <v/>
      </c>
    </row>
    <row r="15" ht="20" customHeight="1">
      <c r="A15" s="5" t="n">
        <v>700</v>
      </c>
      <c r="B15" s="4" t="inlineStr">
        <is>
          <t>180</t>
        </is>
      </c>
      <c r="C15" s="5" t="n">
        <v>12</v>
      </c>
      <c r="D15" s="5" t="n">
        <v>0</v>
      </c>
      <c r="E15" s="6">
        <f>ROUND(D15*1.6, 0)</f>
        <v/>
      </c>
      <c r="F15" s="6">
        <f>ROUND(IF(D15&lt;=150, D15*2.5, IF(D15&lt;=500, D15*2.0, D15*1.7)), -1)</f>
        <v/>
      </c>
      <c r="G15" s="6">
        <f>F15-D15</f>
        <v/>
      </c>
      <c r="H15" s="6">
        <f>ROUND((G15/F15)*100, 1)</f>
        <v/>
      </c>
    </row>
    <row r="16" ht="20" customHeight="1">
      <c r="A16" s="9" t="n">
        <v>1800</v>
      </c>
      <c r="B16" s="8" t="inlineStr">
        <is>
          <t>800</t>
        </is>
      </c>
      <c r="C16" s="9" t="n">
        <v>13</v>
      </c>
      <c r="D16" s="9" t="n">
        <v>0</v>
      </c>
      <c r="E16" s="10">
        <f>ROUND(D16*1.6, 0)</f>
        <v/>
      </c>
      <c r="F16" s="10">
        <f>ROUND(IF(D16&lt;=150, D16*2.5, IF(D16&lt;=500, D16*2.0, D16*1.7)), -1)</f>
        <v/>
      </c>
      <c r="G16" s="10">
        <f>F16-D16</f>
        <v/>
      </c>
      <c r="H16" s="10">
        <f>ROUND((G16/F16)*100, 1)</f>
        <v/>
      </c>
    </row>
    <row r="17" ht="20" customHeight="1">
      <c r="A17" s="5" t="n">
        <v>1200</v>
      </c>
      <c r="B17" s="4" t="inlineStr">
        <is>
          <t>600</t>
        </is>
      </c>
      <c r="C17" s="5" t="n">
        <v>14</v>
      </c>
      <c r="D17" s="5" t="n">
        <v>0</v>
      </c>
      <c r="E17" s="6">
        <f>ROUND(D17*1.6, 0)</f>
        <v/>
      </c>
      <c r="F17" s="6">
        <f>ROUND(IF(D17&lt;=150, D17*2.5, IF(D17&lt;=500, D17*2.0, D17*1.7)), -1)</f>
        <v/>
      </c>
      <c r="G17" s="6">
        <f>F17-D17</f>
        <v/>
      </c>
      <c r="H17" s="6">
        <f>ROUND((G17/F17)*100, 1)</f>
        <v/>
      </c>
    </row>
    <row r="18" ht="20" customHeight="1">
      <c r="A18" s="9" t="n">
        <v>1800</v>
      </c>
      <c r="B18" s="8" t="inlineStr">
        <is>
          <t>950</t>
        </is>
      </c>
      <c r="C18" s="9" t="n">
        <v>15</v>
      </c>
      <c r="D18" s="9" t="n">
        <v>0</v>
      </c>
      <c r="E18" s="10">
        <f>ROUND(D18*1.6, 0)</f>
        <v/>
      </c>
      <c r="F18" s="10">
        <f>ROUND(IF(D18&lt;=150, D18*2.5, IF(D18&lt;=500, D18*2.0, D18*1.7)), -1)</f>
        <v/>
      </c>
      <c r="G18" s="10">
        <f>F18-D18</f>
        <v/>
      </c>
      <c r="H18" s="10">
        <f>ROUND((G18/F18)*100, 1)</f>
        <v/>
      </c>
    </row>
    <row r="19" ht="20" customHeight="1">
      <c r="A19" s="5" t="n">
        <v>350</v>
      </c>
      <c r="B19" s="4" t="inlineStr">
        <is>
          <t>150</t>
        </is>
      </c>
      <c r="C19" s="5" t="n">
        <v>16</v>
      </c>
      <c r="D19" s="5" t="n">
        <v>0</v>
      </c>
      <c r="E19" s="6">
        <f>ROUND(D19*1.6, 0)</f>
        <v/>
      </c>
      <c r="F19" s="6">
        <f>ROUND(IF(D19&lt;=150, D19*2.5, IF(D19&lt;=500, D19*2.0, D19*1.7)), -1)</f>
        <v/>
      </c>
      <c r="G19" s="6">
        <f>F19-D19</f>
        <v/>
      </c>
      <c r="H19" s="6">
        <f>ROUND((G19/F19)*100, 1)</f>
        <v/>
      </c>
    </row>
    <row r="20" ht="20" customHeight="1">
      <c r="A20" s="9" t="n">
        <v>1200</v>
      </c>
      <c r="B20" s="8" t="inlineStr">
        <is>
          <t>350</t>
        </is>
      </c>
      <c r="C20" s="9" t="n">
        <v>17</v>
      </c>
      <c r="D20" s="9" t="n">
        <v>0</v>
      </c>
      <c r="E20" s="10">
        <f>ROUND(D20*1.6, 0)</f>
        <v/>
      </c>
      <c r="F20" s="10">
        <f>ROUND(IF(D20&lt;=150, D20*2.5, IF(D20&lt;=500, D20*2.0, D20*1.7)), -1)</f>
        <v/>
      </c>
      <c r="G20" s="10">
        <f>F20-D20</f>
        <v/>
      </c>
      <c r="H20" s="10">
        <f>ROUND((G20/F20)*100, 1)</f>
        <v/>
      </c>
    </row>
    <row r="21" ht="20" customHeight="1">
      <c r="A21" s="5" t="n">
        <v>1200</v>
      </c>
      <c r="B21" s="4" t="inlineStr">
        <is>
          <t>300</t>
        </is>
      </c>
      <c r="C21" s="5" t="n">
        <v>18</v>
      </c>
      <c r="D21" s="5" t="n">
        <v>0</v>
      </c>
      <c r="E21" s="6">
        <f>ROUND(D21*1.6, 0)</f>
        <v/>
      </c>
      <c r="F21" s="6">
        <f>ROUND(IF(D21&lt;=150, D21*2.5, IF(D21&lt;=500, D21*2.0, D21*1.7)), -1)</f>
        <v/>
      </c>
      <c r="G21" s="6">
        <f>F21-D21</f>
        <v/>
      </c>
      <c r="H21" s="6">
        <f>ROUND((G21/F21)*100, 1)</f>
        <v/>
      </c>
    </row>
    <row r="22" ht="20" customHeight="1">
      <c r="A22" s="9" t="n">
        <v>800</v>
      </c>
      <c r="B22" s="8" t="inlineStr">
        <is>
          <t>220</t>
        </is>
      </c>
      <c r="C22" s="9" t="n">
        <v>19</v>
      </c>
      <c r="D22" s="9" t="n">
        <v>0</v>
      </c>
      <c r="E22" s="10">
        <f>ROUND(D22*1.6, 0)</f>
        <v/>
      </c>
      <c r="F22" s="10">
        <f>ROUND(IF(D22&lt;=150, D22*2.5, IF(D22&lt;=500, D22*2.0, D22*1.7)), -1)</f>
        <v/>
      </c>
      <c r="G22" s="10">
        <f>F22-D22</f>
        <v/>
      </c>
      <c r="H22" s="10">
        <f>ROUND((G22/F22)*100, 1)</f>
        <v/>
      </c>
    </row>
    <row r="23" ht="20" customHeight="1">
      <c r="A23" s="5" t="n">
        <v>1050</v>
      </c>
      <c r="B23" s="4" t="inlineStr">
        <is>
          <t>340</t>
        </is>
      </c>
      <c r="C23" s="5" t="n">
        <v>20</v>
      </c>
      <c r="D23" s="5" t="n">
        <v>0</v>
      </c>
      <c r="E23" s="6">
        <f>ROUND(D23*1.6, 0)</f>
        <v/>
      </c>
      <c r="F23" s="6">
        <f>ROUND(IF(D23&lt;=150, D23*2.5, IF(D23&lt;=500, D23*2.0, D23*1.7)), -1)</f>
        <v/>
      </c>
      <c r="G23" s="6">
        <f>F23-D23</f>
        <v/>
      </c>
      <c r="H23" s="6">
        <f>ROUND((G23/F23)*100, 1)</f>
        <v/>
      </c>
    </row>
    <row r="24" ht="20" customHeight="1">
      <c r="A24" s="9" t="n">
        <v>1250</v>
      </c>
      <c r="B24" s="8" t="inlineStr">
        <is>
          <t>350</t>
        </is>
      </c>
      <c r="C24" s="9" t="n">
        <v>180</v>
      </c>
      <c r="D24" s="9" t="n">
        <v>0</v>
      </c>
      <c r="E24" s="10">
        <f>ROUND(D24*1.6, 0)</f>
        <v/>
      </c>
      <c r="F24" s="10">
        <f>ROUND(IF(D24&lt;=150, D24*2.5, IF(D24&lt;=500, D24*2.0, D24*1.7)), -1)</f>
        <v/>
      </c>
      <c r="G24" s="10">
        <f>F24-D24</f>
        <v/>
      </c>
      <c r="H24" s="10">
        <f>ROUND((G24/F24)*100, 1)</f>
        <v/>
      </c>
    </row>
    <row r="25" ht="20" customHeight="1">
      <c r="A25" s="5" t="n">
        <v>21</v>
      </c>
      <c r="B25" s="4" t="inlineStr">
        <is>
          <t>CA-125 (Ovarian Cancer Marker)</t>
        </is>
      </c>
      <c r="C25" s="5" t="n">
        <v>850</v>
      </c>
      <c r="D25" s="5" t="n">
        <v>300</v>
      </c>
      <c r="E25" s="6">
        <f>ROUND(D25*1.6, 0)</f>
        <v/>
      </c>
      <c r="F25" s="6">
        <f>ROUND(IF(D25&lt;=150, D25*2.5, IF(D25&lt;=500, D25*2.0, D25*1.7)), -1)</f>
        <v/>
      </c>
      <c r="G25" s="6">
        <f>F25-D25</f>
        <v/>
      </c>
      <c r="H25" s="6">
        <f>ROUND((G25/F25)*100, 1)</f>
        <v/>
      </c>
    </row>
    <row r="26" ht="20" customHeight="1">
      <c r="A26" s="9" t="n">
        <v>22</v>
      </c>
      <c r="B26" s="8" t="inlineStr">
        <is>
          <t>CA 19-9 (Pancreatic Cancer Marker)</t>
        </is>
      </c>
      <c r="C26" s="9" t="n">
        <v>1250</v>
      </c>
      <c r="D26" s="9" t="n">
        <v>350</v>
      </c>
      <c r="E26" s="10">
        <f>ROUND(D26*1.6, 0)</f>
        <v/>
      </c>
      <c r="F26" s="10">
        <f>ROUND(IF(D26&lt;=150, D26*2.5, IF(D26&lt;=500, D26*2.0, D26*1.7)), -1)</f>
        <v/>
      </c>
      <c r="G26" s="10">
        <f>F26-D26</f>
        <v/>
      </c>
      <c r="H26" s="10">
        <f>ROUND((G26/F26)*100, 1)</f>
        <v/>
      </c>
    </row>
    <row r="27" ht="20" customHeight="1">
      <c r="A27" s="5" t="n">
        <v>23</v>
      </c>
      <c r="B27" s="4" t="inlineStr">
        <is>
          <t>Adenosine Deaminase (ADA)</t>
        </is>
      </c>
      <c r="C27" s="5" t="n">
        <v>550</v>
      </c>
      <c r="D27" s="5" t="n">
        <v>200</v>
      </c>
      <c r="E27" s="6">
        <f>ROUND(D27*1.6, 0)</f>
        <v/>
      </c>
      <c r="F27" s="6">
        <f>ROUND(IF(D27&lt;=150, D27*2.5, IF(D27&lt;=500, D27*2.0, D27*1.7)), -1)</f>
        <v/>
      </c>
      <c r="G27" s="6">
        <f>F27-D27</f>
        <v/>
      </c>
      <c r="H27" s="6">
        <f>ROUND((G27/F27)*100, 1)</f>
        <v/>
      </c>
    </row>
    <row r="28" ht="20" customHeight="1">
      <c r="A28" s="9" t="n">
        <v>24</v>
      </c>
      <c r="B28" s="8" t="inlineStr">
        <is>
          <t>D-Dimer</t>
        </is>
      </c>
      <c r="C28" s="9" t="n">
        <v>1200</v>
      </c>
      <c r="D28" s="9" t="n">
        <v>400</v>
      </c>
      <c r="E28" s="10">
        <f>ROUND(D28*1.6, 0)</f>
        <v/>
      </c>
      <c r="F28" s="10">
        <f>ROUND(IF(D28&lt;=150, D28*2.5, IF(D28&lt;=500, D28*2.0, D28*1.7)), -1)</f>
        <v/>
      </c>
      <c r="G28" s="10">
        <f>F28-D28</f>
        <v/>
      </c>
      <c r="H28" s="10">
        <f>ROUND((G28/F28)*100, 1)</f>
        <v/>
      </c>
    </row>
    <row r="29" ht="20" customHeight="1">
      <c r="A29" s="5" t="n">
        <v>25</v>
      </c>
      <c r="B29" s="4" t="inlineStr">
        <is>
          <t>Prothrombin Time (PT) / INR</t>
        </is>
      </c>
      <c r="C29" s="5" t="n">
        <v>360</v>
      </c>
      <c r="D29" s="5" t="n">
        <v>150</v>
      </c>
      <c r="E29" s="6">
        <f>ROUND(D29*1.6, 0)</f>
        <v/>
      </c>
      <c r="F29" s="6">
        <f>ROUND(IF(D29&lt;=150, D29*2.5, IF(D29&lt;=500, D29*2.0, D29*1.7)), -1)</f>
        <v/>
      </c>
      <c r="G29" s="6">
        <f>F29-D29</f>
        <v/>
      </c>
      <c r="H29" s="6">
        <f>ROUND((G29/F29)*100, 1)</f>
        <v/>
      </c>
    </row>
    <row r="30" ht="20" customHeight="1">
      <c r="A30" s="9" t="n">
        <v>26</v>
      </c>
      <c r="B30" s="8" t="inlineStr">
        <is>
          <t>Activated Partial Thromboplastin Time (APTT / PTTK)</t>
        </is>
      </c>
      <c r="C30" s="9" t="n">
        <v>500</v>
      </c>
      <c r="D30" s="9" t="n">
        <v>150</v>
      </c>
      <c r="E30" s="10">
        <f>ROUND(D30*1.6, 0)</f>
        <v/>
      </c>
      <c r="F30" s="10">
        <f>ROUND(IF(D30&lt;=150, D30*2.5, IF(D30&lt;=500, D30*2.0, D30*1.7)), -1)</f>
        <v/>
      </c>
      <c r="G30" s="10">
        <f>F30-D30</f>
        <v/>
      </c>
      <c r="H30" s="10">
        <f>ROUND((G30/F30)*100, 1)</f>
        <v/>
      </c>
    </row>
    <row r="31" ht="20" customHeight="1">
      <c r="A31" s="5" t="n">
        <v>27</v>
      </c>
      <c r="B31" s="4" t="inlineStr">
        <is>
          <t>Blood Culture (BD BACTEC)</t>
        </is>
      </c>
      <c r="C31" s="5" t="n">
        <v>980</v>
      </c>
      <c r="D31" s="5" t="n">
        <v>500</v>
      </c>
      <c r="E31" s="6">
        <f>ROUND(D31*1.6, 0)</f>
        <v/>
      </c>
      <c r="F31" s="6">
        <f>ROUND(IF(D31&lt;=150, D31*2.5, IF(D31&lt;=500, D31*2.0, D31*1.7)), -1)</f>
        <v/>
      </c>
      <c r="G31" s="6">
        <f>F31-D31</f>
        <v/>
      </c>
      <c r="H31" s="6">
        <f>ROUND((G31/F31)*100, 1)</f>
        <v/>
      </c>
    </row>
    <row r="32" ht="20" customHeight="1">
      <c r="A32" s="9" t="n">
        <v>28</v>
      </c>
      <c r="B32" s="8" t="inlineStr">
        <is>
          <t>Blood Culture - Aerobic</t>
        </is>
      </c>
      <c r="C32" s="9" t="n">
        <v>850</v>
      </c>
      <c r="D32" s="9" t="n">
        <v>300</v>
      </c>
      <c r="E32" s="10">
        <f>ROUND(D32*1.6, 0)</f>
        <v/>
      </c>
      <c r="F32" s="10">
        <f>ROUND(IF(D32&lt;=150, D32*2.5, IF(D32&lt;=500, D32*2.0, D32*1.7)), -1)</f>
        <v/>
      </c>
      <c r="G32" s="10">
        <f>F32-D32</f>
        <v/>
      </c>
      <c r="H32" s="10">
        <f>ROUND((G32/F32)*100, 1)</f>
        <v/>
      </c>
    </row>
    <row r="33" ht="20" customHeight="1">
      <c r="A33" s="5" t="n">
        <v>29</v>
      </c>
      <c r="B33" s="4" t="inlineStr">
        <is>
          <t>Amylase</t>
        </is>
      </c>
      <c r="C33" s="5" t="n">
        <v>400</v>
      </c>
      <c r="D33" s="5" t="n">
        <v>180</v>
      </c>
      <c r="E33" s="6">
        <f>ROUND(D33*1.6, 0)</f>
        <v/>
      </c>
      <c r="F33" s="6">
        <f>ROUND(IF(D33&lt;=150, D33*2.5, IF(D33&lt;=500, D33*2.0, D33*1.7)), -1)</f>
        <v/>
      </c>
      <c r="G33" s="6">
        <f>F33-D33</f>
        <v/>
      </c>
      <c r="H33" s="6">
        <f>ROUND((G33/F33)*100, 1)</f>
        <v/>
      </c>
    </row>
    <row r="34" ht="20" customHeight="1">
      <c r="A34" s="9" t="n">
        <v>30</v>
      </c>
      <c r="B34" s="8" t="inlineStr">
        <is>
          <t>Lipase</t>
        </is>
      </c>
      <c r="C34" s="9" t="n">
        <v>600</v>
      </c>
      <c r="D34" s="9" t="n">
        <v>180</v>
      </c>
      <c r="E34" s="10">
        <f>ROUND(D34*1.6, 0)</f>
        <v/>
      </c>
      <c r="F34" s="10">
        <f>ROUND(IF(D34&lt;=150, D34*2.5, IF(D34&lt;=500, D34*2.0, D34*1.7)), -1)</f>
        <v/>
      </c>
      <c r="G34" s="10">
        <f>F34-D34</f>
        <v/>
      </c>
      <c r="H34" s="10">
        <f>ROUND((G34/F34)*100, 1)</f>
        <v/>
      </c>
    </row>
    <row r="35" ht="20" customHeight="1">
      <c r="A35" s="5" t="n">
        <v>31</v>
      </c>
      <c r="B35" s="4" t="inlineStr">
        <is>
          <t>ANA (Anti-Nuclear Antibodies) ELISA</t>
        </is>
      </c>
      <c r="C35" s="5" t="n">
        <v>700</v>
      </c>
      <c r="D35" s="5" t="n">
        <v>250</v>
      </c>
      <c r="E35" s="6">
        <f>ROUND(D35*1.6, 0)</f>
        <v/>
      </c>
      <c r="F35" s="6">
        <f>ROUND(IF(D35&lt;=150, D35*2.5, IF(D35&lt;=500, D35*2.0, D35*1.7)), -1)</f>
        <v/>
      </c>
      <c r="G35" s="6">
        <f>F35-D35</f>
        <v/>
      </c>
      <c r="H35" s="6">
        <f>ROUND((G35/F35)*100, 1)</f>
        <v/>
      </c>
    </row>
    <row r="36" ht="20" customHeight="1">
      <c r="A36" s="9" t="n">
        <v>32</v>
      </c>
      <c r="B36" s="8" t="inlineStr">
        <is>
          <t>ANA (Anti-Nuclear Antibodies) IFA</t>
        </is>
      </c>
      <c r="C36" s="9" t="n">
        <v>1250</v>
      </c>
      <c r="D36" s="9" t="n">
        <v>400</v>
      </c>
      <c r="E36" s="10">
        <f>ROUND(D36*1.6, 0)</f>
        <v/>
      </c>
      <c r="F36" s="10">
        <f>ROUND(IF(D36&lt;=150, D36*2.5, IF(D36&lt;=500, D36*2.0, D36*1.7)), -1)</f>
        <v/>
      </c>
      <c r="G36" s="10">
        <f>F36-D36</f>
        <v/>
      </c>
      <c r="H36" s="10">
        <f>ROUND((G36/F36)*100, 1)</f>
        <v/>
      </c>
    </row>
    <row r="37" ht="20" customHeight="1">
      <c r="A37" s="5" t="n">
        <v>33</v>
      </c>
      <c r="B37" s="4" t="inlineStr">
        <is>
          <t>DHEA-S</t>
        </is>
      </c>
      <c r="C37" s="5" t="n">
        <v>850</v>
      </c>
      <c r="D37" s="5" t="n">
        <v>280</v>
      </c>
      <c r="E37" s="6">
        <f>ROUND(D37*1.6, 0)</f>
        <v/>
      </c>
      <c r="F37" s="6">
        <f>ROUND(IF(D37&lt;=150, D37*2.5, IF(D37&lt;=500, D37*2.0, D37*1.7)), -1)</f>
        <v/>
      </c>
      <c r="G37" s="6">
        <f>F37-D37</f>
        <v/>
      </c>
      <c r="H37" s="6">
        <f>ROUND((G37/F37)*100, 1)</f>
        <v/>
      </c>
    </row>
    <row r="38" ht="20" customHeight="1">
      <c r="A38" s="9" t="n">
        <v>34</v>
      </c>
      <c r="B38" s="8" t="inlineStr">
        <is>
          <t>Folate (Folic Acid) Serum</t>
        </is>
      </c>
      <c r="C38" s="9" t="n">
        <v>850</v>
      </c>
      <c r="D38" s="9" t="n">
        <v>280</v>
      </c>
      <c r="E38" s="10">
        <f>ROUND(D38*1.6, 0)</f>
        <v/>
      </c>
      <c r="F38" s="10">
        <f>ROUND(IF(D38&lt;=150, D38*2.5, IF(D38&lt;=500, D38*2.0, D38*1.7)), -1)</f>
        <v/>
      </c>
      <c r="G38" s="10">
        <f>F38-D38</f>
        <v/>
      </c>
      <c r="H38" s="10">
        <f>ROUND((G38/F38)*100, 1)</f>
        <v/>
      </c>
    </row>
    <row r="39" ht="20" customHeight="1">
      <c r="A39" s="5" t="n">
        <v>35</v>
      </c>
      <c r="B39" s="4" t="inlineStr">
        <is>
          <t>Anti-Mullerian Hormone (AMH)</t>
        </is>
      </c>
      <c r="C39" s="5" t="n">
        <v>1800</v>
      </c>
      <c r="D39" s="5" t="n">
        <v>600</v>
      </c>
      <c r="E39" s="6">
        <f>ROUND(D39*1.6, 0)</f>
        <v/>
      </c>
      <c r="F39" s="6">
        <f>ROUND(IF(D39&lt;=150, D39*2.5, IF(D39&lt;=500, D39*2.0, D39*1.7)), -1)</f>
        <v/>
      </c>
      <c r="G39" s="6">
        <f>F39-D39</f>
        <v/>
      </c>
      <c r="H39" s="6">
        <f>ROUND((G39/F39)*100, 1)</f>
        <v/>
      </c>
    </row>
    <row r="40" ht="20" customHeight="1">
      <c r="A40" s="9" t="n">
        <v>36</v>
      </c>
      <c r="B40" s="8" t="inlineStr">
        <is>
          <t>Insulin (Any)</t>
        </is>
      </c>
      <c r="C40" s="9" t="n">
        <v>650</v>
      </c>
      <c r="D40" s="9" t="n">
        <v>200</v>
      </c>
      <c r="E40" s="10">
        <f>ROUND(D40*1.6, 0)</f>
        <v/>
      </c>
      <c r="F40" s="10">
        <f>ROUND(IF(D40&lt;=150, D40*2.5, IF(D40&lt;=500, D40*2.0, D40*1.7)), -1)</f>
        <v/>
      </c>
      <c r="G40" s="10">
        <f>F40-D40</f>
        <v/>
      </c>
      <c r="H40" s="10">
        <f>ROUND((G40/F40)*100, 1)</f>
        <v/>
      </c>
    </row>
    <row r="41" ht="20" customHeight="1">
      <c r="A41" s="5" t="n">
        <v>37</v>
      </c>
      <c r="B41" s="4" t="inlineStr">
        <is>
          <t>tTG-IgA (Tissue Transglutaminase IgA Antibody)</t>
        </is>
      </c>
      <c r="C41" s="5" t="n">
        <v>1200</v>
      </c>
      <c r="D41" s="5" t="n">
        <v>300</v>
      </c>
      <c r="E41" s="6">
        <f>ROUND(D41*1.6, 0)</f>
        <v/>
      </c>
      <c r="F41" s="6">
        <f>ROUND(IF(D41&lt;=150, D41*2.5, IF(D41&lt;=500, D41*2.0, D41*1.7)), -1)</f>
        <v/>
      </c>
      <c r="G41" s="6">
        <f>F41-D41</f>
        <v/>
      </c>
      <c r="H41" s="6">
        <f>ROUND((G41/F41)*100, 1)</f>
        <v/>
      </c>
    </row>
    <row r="42" ht="20" customHeight="1">
      <c r="A42" s="9" t="n">
        <v>38</v>
      </c>
      <c r="B42" s="8" t="inlineStr">
        <is>
          <t>Cardiolipin Antibodies - IgA</t>
        </is>
      </c>
      <c r="C42" s="9" t="n">
        <v>750</v>
      </c>
      <c r="D42" s="9" t="n">
        <v>280</v>
      </c>
      <c r="E42" s="10">
        <f>ROUND(D42*1.6, 0)</f>
        <v/>
      </c>
      <c r="F42" s="10">
        <f>ROUND(IF(D42&lt;=150, D42*2.5, IF(D42&lt;=500, D42*2.0, D42*1.7)), -1)</f>
        <v/>
      </c>
      <c r="G42" s="10">
        <f>F42-D42</f>
        <v/>
      </c>
      <c r="H42" s="10">
        <f>ROUND((G42/F42)*100, 1)</f>
        <v/>
      </c>
    </row>
    <row r="43" ht="20" customHeight="1">
      <c r="A43" s="5" t="n">
        <v>39</v>
      </c>
      <c r="B43" s="4" t="inlineStr">
        <is>
          <t>Cardiolipin Antibodies - IgG</t>
        </is>
      </c>
      <c r="C43" s="5" t="n">
        <v>750</v>
      </c>
      <c r="D43" s="5" t="n">
        <v>280</v>
      </c>
      <c r="E43" s="6">
        <f>ROUND(D43*1.6, 0)</f>
        <v/>
      </c>
      <c r="F43" s="6">
        <f>ROUND(IF(D43&lt;=150, D43*2.5, IF(D43&lt;=500, D43*2.0, D43*1.7)), -1)</f>
        <v/>
      </c>
      <c r="G43" s="6">
        <f>F43-D43</f>
        <v/>
      </c>
      <c r="H43" s="6">
        <f>ROUND((G43/F43)*100, 1)</f>
        <v/>
      </c>
    </row>
    <row r="44" ht="20" customHeight="1">
      <c r="A44" s="9" t="n">
        <v>40</v>
      </c>
      <c r="B44" s="8" t="inlineStr">
        <is>
          <t>Cardiolipin Antibodies - IgM</t>
        </is>
      </c>
      <c r="C44" s="9" t="n">
        <v>750</v>
      </c>
      <c r="D44" s="9" t="n">
        <v>280</v>
      </c>
      <c r="E44" s="10">
        <f>ROUND(D44*1.6, 0)</f>
        <v/>
      </c>
      <c r="F44" s="10">
        <f>ROUND(IF(D44&lt;=150, D44*2.5, IF(D44&lt;=500, D44*2.0, D44*1.7)), -1)</f>
        <v/>
      </c>
      <c r="G44" s="10">
        <f>F44-D44</f>
        <v/>
      </c>
      <c r="H44" s="10">
        <f>ROUND((G44/F44)*100, 1)</f>
        <v/>
      </c>
    </row>
    <row r="45" ht="20" customHeight="1">
      <c r="A45" s="5" t="n">
        <v>41</v>
      </c>
      <c r="B45" s="4" t="inlineStr">
        <is>
          <t>Serum IgE Total</t>
        </is>
      </c>
      <c r="C45" s="5" t="n">
        <v>650</v>
      </c>
      <c r="D45" s="5" t="n">
        <v>180</v>
      </c>
      <c r="E45" s="6">
        <f>ROUND(D45*1.6, 0)</f>
        <v/>
      </c>
      <c r="F45" s="6">
        <f>ROUND(IF(D45&lt;=150, D45*2.5, IF(D45&lt;=500, D45*2.0, D45*1.7)), -1)</f>
        <v/>
      </c>
      <c r="G45" s="6">
        <f>F45-D45</f>
        <v/>
      </c>
      <c r="H45" s="6">
        <f>ROUND((G45/F45)*100, 1)</f>
        <v/>
      </c>
    </row>
    <row r="46" ht="20" customHeight="1">
      <c r="A46" s="9" t="n">
        <v>42</v>
      </c>
      <c r="B46" s="8" t="inlineStr">
        <is>
          <t>Testosterone - Total</t>
        </is>
      </c>
      <c r="C46" s="9" t="n">
        <v>600</v>
      </c>
      <c r="D46" s="9" t="n">
        <v>200</v>
      </c>
      <c r="E46" s="10">
        <f>ROUND(D46*1.6, 0)</f>
        <v/>
      </c>
      <c r="F46" s="10">
        <f>ROUND(IF(D46&lt;=150, D46*2.5, IF(D46&lt;=500, D46*2.0, D46*1.7)), -1)</f>
        <v/>
      </c>
      <c r="G46" s="10">
        <f>F46-D46</f>
        <v/>
      </c>
      <c r="H46" s="10">
        <f>ROUND((G46/F46)*100, 1)</f>
        <v/>
      </c>
    </row>
    <row r="47" ht="20" customHeight="1">
      <c r="A47" s="5" t="n">
        <v>43</v>
      </c>
      <c r="B47" s="4" t="inlineStr">
        <is>
          <t>Testosterone - Free</t>
        </is>
      </c>
      <c r="C47" s="5" t="n">
        <v>1150</v>
      </c>
      <c r="D47" s="5" t="n">
        <v>380</v>
      </c>
      <c r="E47" s="6">
        <f>ROUND(D47*1.6, 0)</f>
        <v/>
      </c>
      <c r="F47" s="6">
        <f>ROUND(IF(D47&lt;=150, D47*2.5, IF(D47&lt;=500, D47*2.0, D47*1.7)), -1)</f>
        <v/>
      </c>
      <c r="G47" s="6">
        <f>F47-D47</f>
        <v/>
      </c>
      <c r="H47" s="6">
        <f>ROUND((G47/F47)*100, 1)</f>
        <v/>
      </c>
    </row>
    <row r="48" ht="20" customHeight="1">
      <c r="A48" s="9" t="n">
        <v>44</v>
      </c>
      <c r="B48" s="8" t="inlineStr">
        <is>
          <t>PSA - Total (Prostate Specific Antigen Total)</t>
        </is>
      </c>
      <c r="C48" s="9" t="n">
        <v>650</v>
      </c>
      <c r="D48" s="9" t="n">
        <v>180</v>
      </c>
      <c r="E48" s="10">
        <f>ROUND(D48*1.6, 0)</f>
        <v/>
      </c>
      <c r="F48" s="10">
        <f>ROUND(IF(D48&lt;=150, D48*2.5, IF(D48&lt;=500, D48*2.0, D48*1.7)), -1)</f>
        <v/>
      </c>
      <c r="G48" s="10">
        <f>F48-D48</f>
        <v/>
      </c>
      <c r="H48" s="10">
        <f>ROUND((G48/F48)*100, 1)</f>
        <v/>
      </c>
    </row>
    <row r="49" ht="20" customHeight="1">
      <c r="A49" s="5" t="n">
        <v>45</v>
      </c>
      <c r="B49" s="4" t="inlineStr">
        <is>
          <t>AFP (Alpha-Fetoprotein) Maternal</t>
        </is>
      </c>
      <c r="C49" s="5" t="n">
        <v>750</v>
      </c>
      <c r="D49" s="5" t="n">
        <v>300</v>
      </c>
      <c r="E49" s="6">
        <f>ROUND(D49*1.6, 0)</f>
        <v/>
      </c>
      <c r="F49" s="6">
        <f>ROUND(IF(D49&lt;=150, D49*2.5, IF(D49&lt;=500, D49*2.0, D49*1.7)), -1)</f>
        <v/>
      </c>
      <c r="G49" s="6">
        <f>F49-D49</f>
        <v/>
      </c>
      <c r="H49" s="6">
        <f>ROUND((G49/F49)*100, 1)</f>
        <v/>
      </c>
    </row>
    <row r="50" ht="20" customHeight="1">
      <c r="A50" s="9" t="n">
        <v>46</v>
      </c>
      <c r="B50" s="8" t="inlineStr">
        <is>
          <t>Hepatitis B Virus (Viral Load Quantitative)</t>
        </is>
      </c>
      <c r="C50" s="9" t="n">
        <v>5500</v>
      </c>
      <c r="D50" s="9" t="n">
        <v>1500</v>
      </c>
      <c r="E50" s="10">
        <f>ROUND(D50*1.6, 0)</f>
        <v/>
      </c>
      <c r="F50" s="10">
        <f>ROUND(IF(D50&lt;=150, D50*2.5, IF(D50&lt;=500, D50*2.0, D50*1.7)), -1)</f>
        <v/>
      </c>
      <c r="G50" s="10">
        <f>F50-D50</f>
        <v/>
      </c>
      <c r="H50" s="10">
        <f>ROUND((G50/F50)*100, 1)</f>
        <v/>
      </c>
    </row>
    <row r="51" ht="20" customHeight="1">
      <c r="A51" s="5" t="n">
        <v>47</v>
      </c>
      <c r="B51" s="4" t="inlineStr">
        <is>
          <t>Hepatitis C Virus (Viral Load Quantitative)</t>
        </is>
      </c>
      <c r="C51" s="5" t="n">
        <v>5500</v>
      </c>
      <c r="D51" s="5" t="n">
        <v>1500</v>
      </c>
      <c r="E51" s="6">
        <f>ROUND(D51*1.6, 0)</f>
        <v/>
      </c>
      <c r="F51" s="6">
        <f>ROUND(IF(D51&lt;=150, D51*2.5, IF(D51&lt;=500, D51*2.0, D51*1.7)), -1)</f>
        <v/>
      </c>
      <c r="G51" s="6">
        <f>F51-D51</f>
        <v/>
      </c>
      <c r="H51" s="6">
        <f>ROUND((G51/F51)*100, 1)</f>
        <v/>
      </c>
    </row>
    <row r="52" ht="20" customHeight="1">
      <c r="A52" s="9" t="n">
        <v>48</v>
      </c>
      <c r="B52" s="8" t="inlineStr">
        <is>
          <t>HIV Quantitative (Viral Load)</t>
        </is>
      </c>
      <c r="C52" s="9" t="n">
        <v>4800</v>
      </c>
      <c r="D52" s="9" t="n">
        <v>1800</v>
      </c>
      <c r="E52" s="10">
        <f>ROUND(D52*1.6, 0)</f>
        <v/>
      </c>
      <c r="F52" s="10">
        <f>ROUND(IF(D52&lt;=150, D52*2.5, IF(D52&lt;=500, D52*2.0, D52*1.7)), -1)</f>
        <v/>
      </c>
      <c r="G52" s="10">
        <f>F52-D52</f>
        <v/>
      </c>
      <c r="H52" s="10">
        <f>ROUND((G52/F52)*100, 1)</f>
        <v/>
      </c>
    </row>
    <row r="53" ht="20" customHeight="1">
      <c r="A53" s="5" t="n">
        <v>49</v>
      </c>
      <c r="B53" s="4" t="inlineStr">
        <is>
          <t>Ferritin</t>
        </is>
      </c>
      <c r="C53" s="5" t="n">
        <v>600</v>
      </c>
      <c r="D53" s="5" t="n">
        <v>180</v>
      </c>
      <c r="E53" s="6">
        <f>ROUND(D53*1.6, 0)</f>
        <v/>
      </c>
      <c r="F53" s="6">
        <f>ROUND(IF(D53&lt;=150, D53*2.5, IF(D53&lt;=500, D53*2.0, D53*1.7)), -1)</f>
        <v/>
      </c>
      <c r="G53" s="6">
        <f>F53-D53</f>
        <v/>
      </c>
      <c r="H53" s="6">
        <f>ROUND((G53/F53)*100, 1)</f>
        <v/>
      </c>
    </row>
    <row r="54" ht="20" customHeight="1">
      <c r="A54" s="9" t="n">
        <v>50</v>
      </c>
      <c r="B54" s="8" t="inlineStr">
        <is>
          <t>HBsAg (Hepatitis B Surface Antigen) ELISA</t>
        </is>
      </c>
      <c r="C54" s="9" t="n">
        <v>650</v>
      </c>
      <c r="D54" s="9" t="n">
        <v>180</v>
      </c>
      <c r="E54" s="10">
        <f>ROUND(D54*1.6, 0)</f>
        <v/>
      </c>
      <c r="F54" s="10">
        <f>ROUND(IF(D54&lt;=150, D54*2.5, IF(D54&lt;=500, D54*2.0, D54*1.7)), -1)</f>
        <v/>
      </c>
      <c r="G54" s="10">
        <f>F54-D54</f>
        <v/>
      </c>
      <c r="H54" s="10">
        <f>ROUND((G54/F54)*100, 1)</f>
        <v/>
      </c>
    </row>
    <row r="55" ht="20" customHeight="1">
      <c r="A55" s="5" t="n">
        <v>51</v>
      </c>
      <c r="B55" s="4" t="inlineStr">
        <is>
          <t>Hepatitis C Virus - Total Antibodies (Anti-HCV) ELISA</t>
        </is>
      </c>
      <c r="C55" s="5" t="n">
        <v>750</v>
      </c>
      <c r="D55" s="5" t="n">
        <v>180</v>
      </c>
      <c r="E55" s="6">
        <f>ROUND(D55*1.6, 0)</f>
        <v/>
      </c>
      <c r="F55" s="6">
        <f>ROUND(IF(D55&lt;=150, D55*2.5, IF(D55&lt;=500, D55*2.0, D55*1.7)), -1)</f>
        <v/>
      </c>
      <c r="G55" s="6">
        <f>F55-D55</f>
        <v/>
      </c>
      <c r="H55" s="6">
        <f>ROUND((G55/F55)*100, 1)</f>
        <v/>
      </c>
    </row>
    <row r="56" ht="20" customHeight="1">
      <c r="A56" s="9" t="n">
        <v>52</v>
      </c>
      <c r="B56" s="8" t="inlineStr">
        <is>
          <t>HIV - ELISA</t>
        </is>
      </c>
      <c r="C56" s="9" t="n">
        <v>650</v>
      </c>
      <c r="D56" s="9" t="n">
        <v>180</v>
      </c>
      <c r="E56" s="10">
        <f>ROUND(D56*1.6, 0)</f>
        <v/>
      </c>
      <c r="F56" s="10">
        <f>ROUND(IF(D56&lt;=150, D56*2.5, IF(D56&lt;=500, D56*2.0, D56*1.7)), -1)</f>
        <v/>
      </c>
      <c r="G56" s="10">
        <f>F56-D56</f>
        <v/>
      </c>
      <c r="H56" s="10">
        <f>ROUND((G56/F56)*100, 1)</f>
        <v/>
      </c>
    </row>
    <row r="57" ht="20" customHeight="1">
      <c r="A57" s="5" t="n">
        <v>53</v>
      </c>
      <c r="B57" s="4" t="inlineStr">
        <is>
          <t>Iron Profile with Ferritin</t>
        </is>
      </c>
      <c r="C57" s="5" t="n">
        <v>950</v>
      </c>
      <c r="D57" s="5" t="n">
        <v>400</v>
      </c>
      <c r="E57" s="6">
        <f>ROUND(D57*1.6, 0)</f>
        <v/>
      </c>
      <c r="F57" s="6">
        <f>ROUND(IF(D57&lt;=150, D57*2.5, IF(D57&lt;=500, D57*2.0, D57*1.7)), -1)</f>
        <v/>
      </c>
      <c r="G57" s="6">
        <f>F57-D57</f>
        <v/>
      </c>
      <c r="H57" s="6">
        <f>ROUND((G57/F57)*100, 1)</f>
        <v/>
      </c>
    </row>
    <row r="58" ht="20" customHeight="1">
      <c r="A58" s="9" t="n">
        <v>54</v>
      </c>
      <c r="B58" s="8" t="inlineStr">
        <is>
          <t>HbA1c (Glycated Hemoglobin)</t>
        </is>
      </c>
      <c r="C58" s="9" t="n">
        <v>460</v>
      </c>
      <c r="D58" s="9" t="n">
        <v>150</v>
      </c>
      <c r="E58" s="10">
        <f>ROUND(D58*1.6, 0)</f>
        <v/>
      </c>
      <c r="F58" s="10">
        <f>ROUND(IF(D58&lt;=150, D58*2.5, IF(D58&lt;=500, D58*2.0, D58*1.7)), -1)</f>
        <v/>
      </c>
      <c r="G58" s="10">
        <f>F58-D58</f>
        <v/>
      </c>
      <c r="H58" s="10">
        <f>ROUND((G58/F58)*100, 1)</f>
        <v/>
      </c>
    </row>
    <row r="59" ht="20" customHeight="1">
      <c r="A59" s="5" t="n">
        <v>55</v>
      </c>
      <c r="B59" s="4" t="inlineStr">
        <is>
          <t>Iron Profile Basic (Iron, TIBC, Saturation, % Index)</t>
        </is>
      </c>
      <c r="C59" s="5" t="n">
        <v>600</v>
      </c>
      <c r="D59" s="5" t="n">
        <v>250</v>
      </c>
      <c r="E59" s="6">
        <f>ROUND(D59*1.6, 0)</f>
        <v/>
      </c>
      <c r="F59" s="6">
        <f>ROUND(IF(D59&lt;=150, D59*2.5, IF(D59&lt;=500, D59*2.0, D59*1.7)), -1)</f>
        <v/>
      </c>
      <c r="G59" s="6">
        <f>F59-D59</f>
        <v/>
      </c>
      <c r="H59" s="6">
        <f>ROUND((G59/F59)*100, 1)</f>
        <v/>
      </c>
    </row>
    <row r="60" ht="20" customHeight="1">
      <c r="A60" s="9" t="n">
        <v>56</v>
      </c>
      <c r="B60" s="8" t="inlineStr">
        <is>
          <t>Liver Function Test (LFT)</t>
        </is>
      </c>
      <c r="C60" s="9" t="n">
        <v>600</v>
      </c>
      <c r="D60" s="9" t="n">
        <v>120</v>
      </c>
      <c r="E60" s="10">
        <f>ROUND(D60*1.6, 0)</f>
        <v/>
      </c>
      <c r="F60" s="10">
        <f>ROUND(IF(D60&lt;=150, D60*2.5, IF(D60&lt;=500, D60*2.0, D60*1.7)), -1)</f>
        <v/>
      </c>
      <c r="G60" s="10">
        <f>F60-D60</f>
        <v/>
      </c>
      <c r="H60" s="10">
        <f>ROUND((G60/F60)*100, 1)</f>
        <v/>
      </c>
    </row>
    <row r="61" ht="20" customHeight="1">
      <c r="A61" s="5" t="n">
        <v>57</v>
      </c>
      <c r="B61" s="4" t="inlineStr">
        <is>
          <t>Kidney Function Test</t>
        </is>
      </c>
      <c r="C61" s="5" t="n">
        <v>400</v>
      </c>
      <c r="D61" s="5" t="n">
        <v>150</v>
      </c>
      <c r="E61" s="6">
        <f>ROUND(D61*1.6, 0)</f>
        <v/>
      </c>
      <c r="F61" s="6">
        <f>ROUND(IF(D61&lt;=150, D61*2.5, IF(D61&lt;=500, D61*2.0, D61*1.7)), -1)</f>
        <v/>
      </c>
      <c r="G61" s="6">
        <f>F61-D61</f>
        <v/>
      </c>
      <c r="H61" s="6">
        <f>ROUND((G61/F61)*100, 1)</f>
        <v/>
      </c>
    </row>
    <row r="62" ht="20" customHeight="1">
      <c r="A62" s="9" t="n">
        <v>57</v>
      </c>
      <c r="B62" s="8" t="inlineStr">
        <is>
          <t>Kidney Function Test + Electrolytes</t>
        </is>
      </c>
      <c r="C62" s="9" t="n">
        <v>600</v>
      </c>
      <c r="D62" s="9" t="n">
        <v>250</v>
      </c>
      <c r="E62" s="10">
        <f>ROUND(D62*1.6, 0)</f>
        <v/>
      </c>
      <c r="F62" s="10">
        <f>ROUND(IF(D62&lt;=150, D62*2.5, IF(D62&lt;=500, D62*2.0, D62*1.7)), -1)</f>
        <v/>
      </c>
      <c r="G62" s="10">
        <f>F62-D62</f>
        <v/>
      </c>
      <c r="H62" s="10">
        <f>ROUND((G62/F62)*100, 1)</f>
        <v/>
      </c>
    </row>
    <row r="63" ht="20" customHeight="1">
      <c r="A63" s="5" t="n">
        <v>58</v>
      </c>
      <c r="B63" s="4" t="inlineStr">
        <is>
          <t>Lipid Profile</t>
        </is>
      </c>
      <c r="C63" s="5" t="n">
        <v>400</v>
      </c>
      <c r="D63" s="5" t="n">
        <v>120</v>
      </c>
      <c r="E63" s="6">
        <f>ROUND(D63*1.6, 0)</f>
        <v/>
      </c>
      <c r="F63" s="6">
        <f>ROUND(IF(D63&lt;=150, D63*2.5, IF(D63&lt;=500, D63*2.0, D63*1.7)), -1)</f>
        <v/>
      </c>
      <c r="G63" s="6">
        <f>F63-D63</f>
        <v/>
      </c>
      <c r="H63" s="6">
        <f>ROUND((G63/F63)*100, 1)</f>
        <v/>
      </c>
    </row>
    <row r="64" ht="20" customHeight="1">
      <c r="A64" s="9" t="n">
        <v>59</v>
      </c>
      <c r="B64" s="8" t="inlineStr">
        <is>
          <t>CBC with ESR</t>
        </is>
      </c>
      <c r="C64" s="9" t="n">
        <v>450</v>
      </c>
      <c r="D64" s="9" t="n">
        <v>100</v>
      </c>
      <c r="E64" s="10">
        <f>ROUND(D64*1.6, 0)</f>
        <v/>
      </c>
      <c r="F64" s="10">
        <f>ROUND(IF(D64&lt;=150, D64*2.5, IF(D64&lt;=500, D64*2.0, D64*1.7)), -1)</f>
        <v/>
      </c>
      <c r="G64" s="10">
        <f>F64-D64</f>
        <v/>
      </c>
      <c r="H64" s="10">
        <f>ROUND((G64/F64)*100, 1)</f>
        <v/>
      </c>
    </row>
    <row r="65" ht="20" customHeight="1">
      <c r="A65" s="5" t="n">
        <v>64</v>
      </c>
      <c r="B65" s="4" t="inlineStr">
        <is>
          <t>G6PD Deficiency (Quantitative)</t>
        </is>
      </c>
      <c r="C65" s="5" t="n">
        <v>800</v>
      </c>
      <c r="D65" s="5" t="n">
        <v>300</v>
      </c>
      <c r="E65" s="6">
        <f>ROUND(D65*1.6, 0)</f>
        <v/>
      </c>
      <c r="F65" s="6">
        <f>ROUND(IF(D65&lt;=150, D65*2.5, IF(D65&lt;=500, D65*2.0, D65*1.7)), -1)</f>
        <v/>
      </c>
      <c r="G65" s="6">
        <f>F65-D65</f>
        <v/>
      </c>
      <c r="H65" s="6">
        <f>ROUND((G65/F65)*100, 1)</f>
        <v/>
      </c>
    </row>
    <row r="66" ht="20" customHeight="1">
      <c r="A66" s="9" t="n">
        <v>65</v>
      </c>
      <c r="B66" s="8" t="inlineStr">
        <is>
          <t>Stool Examination (Occult Blood)</t>
        </is>
      </c>
      <c r="C66" s="9" t="n">
        <v>150</v>
      </c>
      <c r="D66" s="9" t="n">
        <v>80</v>
      </c>
      <c r="E66" s="10">
        <f>ROUND(D66*1.6, 0)</f>
        <v/>
      </c>
      <c r="F66" s="10">
        <f>ROUND(IF(D66&lt;=150, D66*2.5, IF(D66&lt;=500, D66*2.0, D66*1.7)), -1)</f>
        <v/>
      </c>
      <c r="G66" s="10">
        <f>F66-D66</f>
        <v/>
      </c>
      <c r="H66" s="10">
        <f>ROUND((G66/F66)*100, 1)</f>
        <v/>
      </c>
    </row>
    <row r="67" ht="20" customHeight="1">
      <c r="A67" s="5" t="n">
        <v>66</v>
      </c>
      <c r="B67" s="4" t="inlineStr">
        <is>
          <t>Urine Culture (22 Drugs)</t>
        </is>
      </c>
      <c r="C67" s="5" t="n">
        <v>450</v>
      </c>
      <c r="D67" s="5" t="n">
        <v>120</v>
      </c>
      <c r="E67" s="6">
        <f>ROUND(D67*1.6, 0)</f>
        <v/>
      </c>
      <c r="F67" s="6">
        <f>ROUND(IF(D67&lt;=150, D67*2.5, IF(D67&lt;=500, D67*2.0, D67*1.7)), -1)</f>
        <v/>
      </c>
      <c r="G67" s="6">
        <f>F67-D67</f>
        <v/>
      </c>
      <c r="H67" s="6">
        <f>ROUND((G67/F67)*100, 1)</f>
        <v/>
      </c>
    </row>
    <row r="68" ht="20" customHeight="1">
      <c r="A68" s="9" t="n">
        <v>67</v>
      </c>
      <c r="B68" s="8" t="inlineStr">
        <is>
          <t>Lupus Anticoagulant</t>
        </is>
      </c>
      <c r="C68" s="9" t="n">
        <v>1400</v>
      </c>
      <c r="D68" s="9" t="n">
        <v>68</v>
      </c>
      <c r="E68" s="10">
        <f>ROUND(D68*1.6, 0)</f>
        <v/>
      </c>
      <c r="F68" s="10">
        <f>ROUND(IF(D68&lt;=150, D68*2.5, IF(D68&lt;=500, D68*2.0, D68*1.7)), -1)</f>
        <v/>
      </c>
      <c r="G68" s="10">
        <f>F68-D68</f>
        <v/>
      </c>
      <c r="H68" s="10">
        <f>ROUND((G68/F68)*100, 1)</f>
        <v/>
      </c>
    </row>
    <row r="69" ht="20" customHeight="1">
      <c r="A69" s="5" t="n">
        <v>650</v>
      </c>
      <c r="B69" s="4" t="inlineStr">
        <is>
          <t>150</t>
        </is>
      </c>
      <c r="C69" s="5" t="n">
        <v>69</v>
      </c>
      <c r="D69" s="5" t="n">
        <v>0</v>
      </c>
      <c r="E69" s="6">
        <f>ROUND(D69*1.6, 0)</f>
        <v/>
      </c>
      <c r="F69" s="6">
        <f>ROUND(IF(D69&lt;=150, D69*2.5, IF(D69&lt;=500, D69*2.0, D69*1.7)), -1)</f>
        <v/>
      </c>
      <c r="G69" s="6">
        <f>F69-D69</f>
        <v/>
      </c>
      <c r="H69" s="6">
        <f>ROUND((G69/F69)*100, 1)</f>
        <v/>
      </c>
    </row>
    <row r="70" ht="20" customHeight="1">
      <c r="A70" s="9" t="n">
        <v>650</v>
      </c>
      <c r="B70" s="8" t="inlineStr">
        <is>
          <t>200</t>
        </is>
      </c>
      <c r="C70" s="9" t="n">
        <v>70</v>
      </c>
      <c r="D70" s="9" t="n">
        <v>0</v>
      </c>
      <c r="E70" s="10">
        <f>ROUND(D70*1.6, 0)</f>
        <v/>
      </c>
      <c r="F70" s="10">
        <f>ROUND(IF(D70&lt;=150, D70*2.5, IF(D70&lt;=500, D70*2.0, D70*1.7)), -1)</f>
        <v/>
      </c>
      <c r="G70" s="10">
        <f>F70-D70</f>
        <v/>
      </c>
      <c r="H70" s="10">
        <f>ROUND((G70/F70)*100, 1)</f>
        <v/>
      </c>
    </row>
    <row r="71" ht="20" customHeight="1">
      <c r="A71" s="5" t="n">
        <v>850</v>
      </c>
      <c r="B71" s="4" t="inlineStr">
        <is>
          <t>280</t>
        </is>
      </c>
      <c r="C71" s="5" t="n">
        <v>71</v>
      </c>
      <c r="D71" s="5" t="n">
        <v>0</v>
      </c>
      <c r="E71" s="6">
        <f>ROUND(D71*1.6, 0)</f>
        <v/>
      </c>
      <c r="F71" s="6">
        <f>ROUND(IF(D71&lt;=150, D71*2.5, IF(D71&lt;=500, D71*2.0, D71*1.7)), -1)</f>
        <v/>
      </c>
      <c r="G71" s="6">
        <f>F71-D71</f>
        <v/>
      </c>
      <c r="H71" s="6">
        <f>ROUND((G71/F71)*100, 1)</f>
        <v/>
      </c>
    </row>
    <row r="72" ht="20" customHeight="1">
      <c r="A72" s="9" t="n">
        <v>260</v>
      </c>
      <c r="B72" s="8" t="inlineStr">
        <is>
          <t>120</t>
        </is>
      </c>
      <c r="C72" s="9" t="n">
        <v>72</v>
      </c>
      <c r="D72" s="9" t="n">
        <v>0</v>
      </c>
      <c r="E72" s="10">
        <f>ROUND(D72*1.6, 0)</f>
        <v/>
      </c>
      <c r="F72" s="10">
        <f>ROUND(IF(D72&lt;=150, D72*2.5, IF(D72&lt;=500, D72*2.0, D72*1.7)), -1)</f>
        <v/>
      </c>
      <c r="G72" s="10">
        <f>F72-D72</f>
        <v/>
      </c>
      <c r="H72" s="10">
        <f>ROUND((G72/F72)*100, 1)</f>
        <v/>
      </c>
    </row>
    <row r="73" ht="20" customHeight="1">
      <c r="A73" s="5" t="n">
        <v>450</v>
      </c>
      <c r="B73" s="4" t="inlineStr">
        <is>
          <t>180</t>
        </is>
      </c>
      <c r="C73" s="5" t="n">
        <v>73</v>
      </c>
      <c r="D73" s="5" t="n">
        <v>0</v>
      </c>
      <c r="E73" s="6">
        <f>ROUND(D73*1.6, 0)</f>
        <v/>
      </c>
      <c r="F73" s="6">
        <f>ROUND(IF(D73&lt;=150, D73*2.5, IF(D73&lt;=500, D73*2.0, D73*1.7)), -1)</f>
        <v/>
      </c>
      <c r="G73" s="6">
        <f>F73-D73</f>
        <v/>
      </c>
      <c r="H73" s="6">
        <f>ROUND((G73/F73)*100, 1)</f>
        <v/>
      </c>
    </row>
    <row r="74" ht="20" customHeight="1">
      <c r="A74" s="9" t="n">
        <v>450</v>
      </c>
      <c r="B74" s="8" t="inlineStr">
        <is>
          <t>180</t>
        </is>
      </c>
      <c r="C74" s="9" t="n">
        <v>74</v>
      </c>
      <c r="D74" s="9" t="n">
        <v>0</v>
      </c>
      <c r="E74" s="10">
        <f>ROUND(D74*1.6, 0)</f>
        <v/>
      </c>
      <c r="F74" s="10">
        <f>ROUND(IF(D74&lt;=150, D74*2.5, IF(D74&lt;=500, D74*2.0, D74*1.7)), -1)</f>
        <v/>
      </c>
      <c r="G74" s="10">
        <f>F74-D74</f>
        <v/>
      </c>
      <c r="H74" s="10">
        <f>ROUND((G74/F74)*100, 1)</f>
        <v/>
      </c>
    </row>
    <row r="75" ht="20" customHeight="1">
      <c r="A75" s="5" t="n">
        <v>450</v>
      </c>
      <c r="B75" s="4" t="inlineStr">
        <is>
          <t>180</t>
        </is>
      </c>
      <c r="C75" s="5" t="n">
        <v>75</v>
      </c>
      <c r="D75" s="5" t="n">
        <v>0</v>
      </c>
      <c r="E75" s="6">
        <f>ROUND(D75*1.6, 0)</f>
        <v/>
      </c>
      <c r="F75" s="6">
        <f>ROUND(IF(D75&lt;=150, D75*2.5, IF(D75&lt;=500, D75*2.0, D75*1.7)), -1)</f>
        <v/>
      </c>
      <c r="G75" s="6">
        <f>F75-D75</f>
        <v/>
      </c>
      <c r="H75" s="6">
        <f>ROUND((G75/F75)*100, 1)</f>
        <v/>
      </c>
    </row>
    <row r="76" ht="20" customHeight="1">
      <c r="A76" s="9" t="n">
        <v>400</v>
      </c>
      <c r="B76" s="8" t="inlineStr">
        <is>
          <t>150</t>
        </is>
      </c>
      <c r="C76" s="9" t="n">
        <v>76</v>
      </c>
      <c r="D76" s="9" t="n">
        <v>0</v>
      </c>
      <c r="E76" s="10">
        <f>ROUND(D76*1.6, 0)</f>
        <v/>
      </c>
      <c r="F76" s="10">
        <f>ROUND(IF(D76&lt;=150, D76*2.5, IF(D76&lt;=500, D76*2.0, D76*1.7)), -1)</f>
        <v/>
      </c>
      <c r="G76" s="10">
        <f>F76-D76</f>
        <v/>
      </c>
      <c r="H76" s="10">
        <f>ROUND((G76/F76)*100, 1)</f>
        <v/>
      </c>
    </row>
    <row r="77" ht="20" customHeight="1">
      <c r="A77" s="5" t="n">
        <v>200</v>
      </c>
      <c r="B77" s="4" t="inlineStr">
        <is>
          <t>80</t>
        </is>
      </c>
      <c r="C77" s="5" t="n">
        <v>77</v>
      </c>
      <c r="D77" s="5" t="n">
        <v>0</v>
      </c>
      <c r="E77" s="6">
        <f>ROUND(D77*1.6, 0)</f>
        <v/>
      </c>
      <c r="F77" s="6">
        <f>ROUND(IF(D77&lt;=150, D77*2.5, IF(D77&lt;=500, D77*2.0, D77*1.7)), -1)</f>
        <v/>
      </c>
      <c r="G77" s="6">
        <f>F77-D77</f>
        <v/>
      </c>
      <c r="H77" s="6">
        <f>ROUND((G77/F77)*100, 1)</f>
        <v/>
      </c>
    </row>
    <row r="78" ht="20" customHeight="1">
      <c r="A78" s="9" t="n">
        <v>1050</v>
      </c>
      <c r="B78" s="8" t="inlineStr">
        <is>
          <t>400</t>
        </is>
      </c>
      <c r="C78" s="9" t="n">
        <v>78</v>
      </c>
      <c r="D78" s="9" t="n">
        <v>0</v>
      </c>
      <c r="E78" s="10">
        <f>ROUND(D78*1.6, 0)</f>
        <v/>
      </c>
      <c r="F78" s="10">
        <f>ROUND(IF(D78&lt;=150, D78*2.5, IF(D78&lt;=500, D78*2.0, D78*1.7)), -1)</f>
        <v/>
      </c>
      <c r="G78" s="10">
        <f>F78-D78</f>
        <v/>
      </c>
      <c r="H78" s="10">
        <f>ROUND((G78/F78)*100, 1)</f>
        <v/>
      </c>
    </row>
    <row r="79" ht="20" customHeight="1">
      <c r="A79" s="5" t="n">
        <v>500</v>
      </c>
      <c r="B79" s="4" t="inlineStr">
        <is>
          <t>220</t>
        </is>
      </c>
      <c r="C79" s="5" t="n">
        <v>79</v>
      </c>
      <c r="D79" s="5" t="n">
        <v>0</v>
      </c>
      <c r="E79" s="6">
        <f>ROUND(D79*1.6, 0)</f>
        <v/>
      </c>
      <c r="F79" s="6">
        <f>ROUND(IF(D79&lt;=150, D79*2.5, IF(D79&lt;=500, D79*2.0, D79*1.7)), -1)</f>
        <v/>
      </c>
      <c r="G79" s="6">
        <f>F79-D79</f>
        <v/>
      </c>
      <c r="H79" s="6">
        <f>ROUND((G79/F79)*100, 1)</f>
        <v/>
      </c>
    </row>
    <row r="80" ht="20" customHeight="1">
      <c r="A80" s="9" t="n">
        <v>2800</v>
      </c>
      <c r="B80" s="8" t="inlineStr">
        <is>
          <t>1200</t>
        </is>
      </c>
      <c r="C80" s="9" t="n">
        <v>80</v>
      </c>
      <c r="D80" s="9" t="n">
        <v>0</v>
      </c>
      <c r="E80" s="10">
        <f>ROUND(D80*1.6, 0)</f>
        <v/>
      </c>
      <c r="F80" s="10">
        <f>ROUND(IF(D80&lt;=150, D80*2.5, IF(D80&lt;=500, D80*2.0, D80*1.7)), -1)</f>
        <v/>
      </c>
      <c r="G80" s="10">
        <f>F80-D80</f>
        <v/>
      </c>
      <c r="H80" s="10">
        <f>ROUND((G80/F80)*100, 1)</f>
        <v/>
      </c>
    </row>
    <row r="81" ht="20" customHeight="1">
      <c r="A81" s="5" t="n">
        <v>700</v>
      </c>
      <c r="B81" s="4" t="inlineStr">
        <is>
          <t>280</t>
        </is>
      </c>
      <c r="C81" s="5" t="n">
        <v>81</v>
      </c>
      <c r="D81" s="5" t="n">
        <v>0</v>
      </c>
      <c r="E81" s="6">
        <f>ROUND(D81*1.6, 0)</f>
        <v/>
      </c>
      <c r="F81" s="6">
        <f>ROUND(IF(D81&lt;=150, D81*2.5, IF(D81&lt;=500, D81*2.0, D81*1.7)), -1)</f>
        <v/>
      </c>
      <c r="G81" s="6">
        <f>F81-D81</f>
        <v/>
      </c>
      <c r="H81" s="6">
        <f>ROUND((G81/F81)*100, 1)</f>
        <v/>
      </c>
    </row>
    <row r="82" ht="20" customHeight="1">
      <c r="A82" s="9" t="n">
        <v>5800</v>
      </c>
      <c r="B82" s="8" t="inlineStr">
        <is>
          <t>1500</t>
        </is>
      </c>
      <c r="C82" s="9" t="n">
        <v>82</v>
      </c>
      <c r="D82" s="9" t="n">
        <v>0</v>
      </c>
      <c r="E82" s="10">
        <f>ROUND(D82*1.6, 0)</f>
        <v/>
      </c>
      <c r="F82" s="10">
        <f>ROUND(IF(D82&lt;=150, D82*2.5, IF(D82&lt;=500, D82*2.0, D82*1.7)), -1)</f>
        <v/>
      </c>
      <c r="G82" s="10">
        <f>F82-D82</f>
        <v/>
      </c>
      <c r="H82" s="10">
        <f>ROUND((G82/F82)*100, 1)</f>
        <v/>
      </c>
    </row>
    <row r="83" ht="20" customHeight="1">
      <c r="A83" s="5" t="n">
        <v>3800</v>
      </c>
      <c r="B83" s="4" t="inlineStr">
        <is>
          <t>1400</t>
        </is>
      </c>
      <c r="C83" s="5" t="n">
        <v>83</v>
      </c>
      <c r="D83" s="5" t="n">
        <v>0</v>
      </c>
      <c r="E83" s="6">
        <f>ROUND(D83*1.6, 0)</f>
        <v/>
      </c>
      <c r="F83" s="6">
        <f>ROUND(IF(D83&lt;=150, D83*2.5, IF(D83&lt;=500, D83*2.0, D83*1.7)), -1)</f>
        <v/>
      </c>
      <c r="G83" s="6">
        <f>F83-D83</f>
        <v/>
      </c>
      <c r="H83" s="6">
        <f>ROUND((G83/F83)*100, 1)</f>
        <v/>
      </c>
    </row>
    <row r="84" ht="20" customHeight="1">
      <c r="A84" s="9" t="n">
        <v>84</v>
      </c>
      <c r="B84" s="8" t="inlineStr">
        <is>
          <t>Anti-HAV IgG (Hepatitis A Antibody)</t>
        </is>
      </c>
      <c r="C84" s="9" t="n">
        <v>940</v>
      </c>
      <c r="D84" s="9" t="n">
        <v>320</v>
      </c>
      <c r="E84" s="10">
        <f>ROUND(D84*1.6, 0)</f>
        <v/>
      </c>
      <c r="F84" s="10">
        <f>ROUND(IF(D84&lt;=150, D84*2.5, IF(D84&lt;=500, D84*2.0, D84*1.7)), -1)</f>
        <v/>
      </c>
      <c r="G84" s="10">
        <f>F84-D84</f>
        <v/>
      </c>
      <c r="H84" s="10">
        <f>ROUND((G84/F84)*100, 1)</f>
        <v/>
      </c>
    </row>
    <row r="85" ht="20" customHeight="1">
      <c r="A85" s="5" t="n">
        <v>85</v>
      </c>
      <c r="B85" s="4" t="inlineStr">
        <is>
          <t>Anti-HEV IgG (Hepatitis E Antibody)</t>
        </is>
      </c>
      <c r="C85" s="5" t="n">
        <v>1400</v>
      </c>
      <c r="D85" s="5" t="n">
        <v>320</v>
      </c>
      <c r="E85" s="6">
        <f>ROUND(D85*1.6, 0)</f>
        <v/>
      </c>
      <c r="F85" s="6">
        <f>ROUND(IF(D85&lt;=150, D85*2.5, IF(D85&lt;=500, D85*2.0, D85*1.7)), -1)</f>
        <v/>
      </c>
      <c r="G85" s="6">
        <f>F85-D85</f>
        <v/>
      </c>
      <c r="H85" s="6">
        <f>ROUND((G85/F85)*100, 1)</f>
        <v/>
      </c>
    </row>
    <row r="86" ht="20" customHeight="1">
      <c r="A86" s="9" t="n">
        <v>86</v>
      </c>
      <c r="B86" s="8" t="inlineStr">
        <is>
          <t>Anti-HEV IgM (Hepatitis E Antibody)</t>
        </is>
      </c>
      <c r="C86" s="9" t="n">
        <v>1400</v>
      </c>
      <c r="D86" s="9" t="n">
        <v>320</v>
      </c>
      <c r="E86" s="10">
        <f>ROUND(D86*1.6, 0)</f>
        <v/>
      </c>
      <c r="F86" s="10">
        <f>ROUND(IF(D86&lt;=150, D86*2.5, IF(D86&lt;=500, D86*2.0, D86*1.7)), -1)</f>
        <v/>
      </c>
      <c r="G86" s="10">
        <f>F86-D86</f>
        <v/>
      </c>
      <c r="H86" s="10">
        <f>ROUND((G86/F86)*100, 1)</f>
        <v/>
      </c>
    </row>
    <row r="87" ht="20" customHeight="1">
      <c r="A87" s="5" t="n">
        <v>87</v>
      </c>
      <c r="B87" s="4" t="inlineStr">
        <is>
          <t>Procalcitonin</t>
        </is>
      </c>
      <c r="C87" s="5" t="n">
        <v>3080</v>
      </c>
      <c r="D87" s="5" t="n">
        <v>1200</v>
      </c>
      <c r="E87" s="6">
        <f>ROUND(D87*1.6, 0)</f>
        <v/>
      </c>
      <c r="F87" s="6">
        <f>ROUND(IF(D87&lt;=150, D87*2.5, IF(D87&lt;=500, D87*2.0, D87*1.7)), -1)</f>
        <v/>
      </c>
      <c r="G87" s="6">
        <f>F87-D87</f>
        <v/>
      </c>
      <c r="H87" s="6">
        <f>ROUND((G87/F87)*100, 1)</f>
        <v/>
      </c>
    </row>
    <row r="88" ht="20" customHeight="1">
      <c r="A88" s="9" t="n">
        <v>88</v>
      </c>
      <c r="B88" s="8" t="inlineStr">
        <is>
          <t>PCOD (Polycystic Ovarian Disease) Profile (P085)</t>
        </is>
      </c>
      <c r="C88" s="9" t="n">
        <v>2800</v>
      </c>
      <c r="D88" s="9" t="n">
        <v>1200</v>
      </c>
      <c r="E88" s="10">
        <f>ROUND(D88*1.6, 0)</f>
        <v/>
      </c>
      <c r="F88" s="10">
        <f>ROUND(IF(D88&lt;=150, D88*2.5, IF(D88&lt;=500, D88*2.0, D88*1.7)), -1)</f>
        <v/>
      </c>
      <c r="G88" s="10">
        <f>F88-D88</f>
        <v/>
      </c>
      <c r="H88" s="10">
        <f>ROUND((G88/F88)*100, 1)</f>
        <v/>
      </c>
    </row>
    <row r="89" ht="20" customHeight="1">
      <c r="A89" s="5" t="n">
        <v>89</v>
      </c>
      <c r="B89" s="4" t="inlineStr">
        <is>
          <t>Dual Marker with Graph: PAPP-A, Free Beta-HCG, Risk Evaluation</t>
        </is>
      </c>
      <c r="C89" s="5" t="n">
        <v>2500</v>
      </c>
      <c r="D89" s="5" t="n">
        <v>700</v>
      </c>
      <c r="E89" s="6">
        <f>ROUND(D89*1.6, 0)</f>
        <v/>
      </c>
      <c r="F89" s="6">
        <f>ROUND(IF(D89&lt;=150, D89*2.5, IF(D89&lt;=500, D89*2.0, D89*1.7)), -1)</f>
        <v/>
      </c>
      <c r="G89" s="6">
        <f>F89-D89</f>
        <v/>
      </c>
      <c r="H89" s="6">
        <f>ROUND((G89/F89)*100, 1)</f>
        <v/>
      </c>
    </row>
    <row r="90" ht="20" customHeight="1">
      <c r="A90" s="9" t="n">
        <v>90</v>
      </c>
      <c r="B90" s="8" t="inlineStr">
        <is>
          <t>Triple Marker with Graph: Beta-HCG, Estriol Unconjugated (E3), AFP</t>
        </is>
      </c>
      <c r="C90" s="9" t="n">
        <v>2500</v>
      </c>
      <c r="D90" s="9" t="n">
        <v>800</v>
      </c>
      <c r="E90" s="10">
        <f>ROUND(D90*1.6, 0)</f>
        <v/>
      </c>
      <c r="F90" s="10">
        <f>ROUND(IF(D90&lt;=150, D90*2.5, IF(D90&lt;=500, D90*2.0, D90*1.7)), -1)</f>
        <v/>
      </c>
      <c r="G90" s="10">
        <f>F90-D90</f>
        <v/>
      </c>
      <c r="H90" s="10">
        <f>ROUND((G90/F90)*100, 1)</f>
        <v/>
      </c>
    </row>
    <row r="91" ht="20" customHeight="1">
      <c r="A91" s="5" t="n">
        <v>91</v>
      </c>
      <c r="B91" s="4" t="inlineStr">
        <is>
          <t>Quadra Marker with Graph: PAPP-A, Free Beta-HCG, AFP, Inhibin A</t>
        </is>
      </c>
      <c r="C91" s="5" t="n">
        <v>3250</v>
      </c>
      <c r="D91" s="5" t="n">
        <v>1300</v>
      </c>
      <c r="E91" s="6">
        <f>ROUND(D91*1.6, 0)</f>
        <v/>
      </c>
      <c r="F91" s="6">
        <f>ROUND(IF(D91&lt;=150, D91*2.5, IF(D91&lt;=500, D91*2.0, D91*1.7)), -1)</f>
        <v/>
      </c>
      <c r="G91" s="6">
        <f>F91-D91</f>
        <v/>
      </c>
      <c r="H91" s="6">
        <f>ROUND((G91/F91)*100, 1)</f>
        <v/>
      </c>
    </row>
    <row r="92" ht="20" customHeight="1">
      <c r="A92" s="9" t="n">
        <v>3450</v>
      </c>
      <c r="B92" s="8" t="inlineStr">
        <is>
          <t>900</t>
        </is>
      </c>
      <c r="C92" s="9" t="n">
        <v>93</v>
      </c>
      <c r="D92" s="9" t="n">
        <v>0</v>
      </c>
      <c r="E92" s="10">
        <f>ROUND(D92*1.6, 0)</f>
        <v/>
      </c>
      <c r="F92" s="10">
        <f>ROUND(IF(D92&lt;=150, D92*2.5, IF(D92&lt;=500, D92*2.0, D92*1.7)), -1)</f>
        <v/>
      </c>
      <c r="G92" s="10">
        <f>F92-D92</f>
        <v/>
      </c>
      <c r="H92" s="10">
        <f>ROUND((G92/F92)*100, 1)</f>
        <v/>
      </c>
    </row>
    <row r="93" ht="20" customHeight="1">
      <c r="A93" s="5" t="n">
        <v>2050</v>
      </c>
      <c r="B93" s="4" t="inlineStr">
        <is>
          <t>800</t>
        </is>
      </c>
      <c r="C93" s="5" t="n">
        <v>94</v>
      </c>
      <c r="D93" s="5" t="n">
        <v>0</v>
      </c>
      <c r="E93" s="6">
        <f>ROUND(D93*1.6, 0)</f>
        <v/>
      </c>
      <c r="F93" s="6">
        <f>ROUND(IF(D93&lt;=150, D93*2.5, IF(D93&lt;=500, D93*2.0, D93*1.7)), -1)</f>
        <v/>
      </c>
      <c r="G93" s="6">
        <f>F93-D93</f>
        <v/>
      </c>
      <c r="H93" s="6">
        <f>ROUND((G93/F93)*100, 1)</f>
        <v/>
      </c>
    </row>
    <row r="94" ht="20" customHeight="1">
      <c r="A94" s="9" t="n">
        <v>2500</v>
      </c>
      <c r="B94" s="8" t="inlineStr">
        <is>
          <t>1000</t>
        </is>
      </c>
      <c r="C94" s="9" t="n">
        <v>1</v>
      </c>
      <c r="D94" s="9" t="n">
        <v>1200</v>
      </c>
      <c r="E94" s="10">
        <f>ROUND(D94*1.6, 0)</f>
        <v/>
      </c>
      <c r="F94" s="10">
        <f>ROUND(IF(D94&lt;=150, D94*2.5, IF(D94&lt;=500, D94*2.0, D94*1.7)), -1)</f>
        <v/>
      </c>
      <c r="G94" s="10">
        <f>F94-D94</f>
        <v/>
      </c>
      <c r="H94" s="10">
        <f>ROUND((G94/F94)*100, 1)</f>
        <v/>
      </c>
    </row>
    <row r="95" ht="20" customHeight="1">
      <c r="A95" s="5" t="n">
        <v>2</v>
      </c>
      <c r="B95" s="4" t="inlineStr">
        <is>
          <t>1.2 - CBC, LFT, KFT, Lipid, FBS, T3, T4, TSH Ultra, HbA1c, ESR, Calcium, Urine Routine</t>
        </is>
      </c>
      <c r="C95" s="5" t="n">
        <v>1800</v>
      </c>
      <c r="D95" s="5" t="n">
        <v>380</v>
      </c>
      <c r="E95" s="6">
        <f>ROUND(D95*1.6, 0)</f>
        <v/>
      </c>
      <c r="F95" s="6">
        <f>ROUND(IF(D95&lt;=150, D95*2.5, IF(D95&lt;=500, D95*2.0, D95*1.7)), -1)</f>
        <v/>
      </c>
      <c r="G95" s="6">
        <f>F95-D95</f>
        <v/>
      </c>
      <c r="H95" s="6">
        <f>ROUND((G95/F95)*100, 1)</f>
        <v/>
      </c>
    </row>
    <row r="96" ht="20" customHeight="1">
      <c r="A96" s="9" t="n">
        <v>800</v>
      </c>
      <c r="B96" s="8" t="inlineStr">
        <is>
          <t>4 1.4 - CBC, LFT, KFT, Lipid, FBS, TFT Ultra, Vit-D, B12, Urine R/M, ESR, HbA1c, CRP, RA Factor, Calcium</t>
        </is>
      </c>
      <c r="C96" s="9" t="n">
        <v>3000</v>
      </c>
      <c r="D96" s="9" t="n">
        <v>950</v>
      </c>
      <c r="E96" s="10">
        <f>ROUND(D96*1.6, 0)</f>
        <v/>
      </c>
      <c r="F96" s="10">
        <f>ROUND(IF(D96&lt;=150, D96*2.5, IF(D96&lt;=500, D96*2.0, D96*1.7)), -1)</f>
        <v/>
      </c>
      <c r="G96" s="10">
        <f>F96-D96</f>
        <v/>
      </c>
      <c r="H96" s="10">
        <f>ROUND((G96/F96)*100, 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64" customWidth="1" min="2" max="2"/>
    <col width="17" customWidth="1" min="3" max="3"/>
    <col width="21" customWidth="1" min="4" max="4"/>
    <col width="32" customWidth="1" min="5" max="5"/>
    <col width="43" customWidth="1" min="6" max="6"/>
    <col width="31" customWidth="1" min="7" max="7"/>
    <col width="22" customWidth="1" min="8" max="8"/>
    <col width="23" customWidth="1" min="9" max="9"/>
    <col width="31" customWidth="1" min="10" max="10"/>
    <col width="17" customWidth="1" min="11" max="11"/>
  </cols>
  <sheetData>
    <row r="1" ht="24" customHeight="1">
      <c r="A1" s="1" t="inlineStr">
        <is>
          <t>SAWARIYA CLINICAL TEST PANELS TARIFF</t>
        </is>
      </c>
    </row>
    <row r="2" ht="18" customHeight="1">
      <c r="A2" s="2" t="inlineStr">
        <is>
          <t>Consolidated Multi-Analyte Health Panels (Single Vacutainer Needle Draw)</t>
        </is>
      </c>
    </row>
    <row r="3"/>
    <row r="4" ht="28" customHeight="1">
      <c r="A4" s="12" t="inlineStr">
        <is>
          <t>Panel ID</t>
        </is>
      </c>
      <c r="B4" s="12" t="inlineStr">
        <is>
          <t>Panel Name</t>
        </is>
      </c>
      <c r="C4" s="12" t="inlineStr">
        <is>
          <t>Department</t>
        </is>
      </c>
      <c r="D4" s="12" t="inlineStr">
        <is>
          <t>Included Analytes</t>
        </is>
      </c>
      <c r="E4" s="12" t="inlineStr">
        <is>
          <t>Current Transparent Rate (₹)</t>
        </is>
      </c>
      <c r="F4" s="12" t="inlineStr">
        <is>
          <t>Estimated Individual A La Carte Sum (₹)</t>
        </is>
      </c>
      <c r="G4" s="12" t="inlineStr">
        <is>
          <t>Patient Package Savings (₹)</t>
        </is>
      </c>
      <c r="H4" s="12" t="inlineStr">
        <is>
          <t>Package Discount %</t>
        </is>
      </c>
      <c r="I4" s="12" t="inlineStr">
        <is>
          <t>Standard Turnaround</t>
        </is>
      </c>
      <c r="J4" s="12" t="inlineStr">
        <is>
          <t>New Proposed Panel Rate (₹)</t>
        </is>
      </c>
      <c r="K4" s="12" t="inlineStr">
        <is>
          <t>New Savings %</t>
        </is>
      </c>
    </row>
    <row r="5" ht="20" customHeight="1">
      <c r="A5" s="4" t="inlineStr">
        <is>
          <t>panel-hemogram</t>
        </is>
      </c>
      <c r="B5" s="4" t="inlineStr">
        <is>
          <t>Complete Hemogram (CBC + ESR)</t>
        </is>
      </c>
      <c r="C5" s="4" t="inlineStr">
        <is>
          <t>Hematology</t>
        </is>
      </c>
      <c r="D5" s="5" t="n">
        <v>16</v>
      </c>
      <c r="E5" s="5" t="n">
        <v>450</v>
      </c>
      <c r="F5" s="5" t="n">
        <v>700</v>
      </c>
      <c r="G5" s="6">
        <f>F5-E5</f>
        <v/>
      </c>
      <c r="H5" s="6">
        <f>ROUND((G5/F5)*100, 1)</f>
        <v/>
      </c>
      <c r="I5" s="4" t="inlineStr">
        <is>
          <t>TAT: 4 Hours</t>
        </is>
      </c>
      <c r="J5" s="5" t="n">
        <v>450</v>
      </c>
      <c r="K5" s="6">
        <f>ROUND((1-(J5/F5))*100, 1)</f>
        <v/>
      </c>
    </row>
    <row r="6" ht="20" customHeight="1">
      <c r="A6" s="8" t="inlineStr">
        <is>
          <t>panel-lft</t>
        </is>
      </c>
      <c r="B6" s="8" t="inlineStr">
        <is>
          <t>Liver Function &amp; Biliary Panel (LFT)</t>
        </is>
      </c>
      <c r="C6" s="8" t="inlineStr">
        <is>
          <t>Biochemistry</t>
        </is>
      </c>
      <c r="D6" s="9" t="n">
        <v>11</v>
      </c>
      <c r="E6" s="9" t="n">
        <v>600</v>
      </c>
      <c r="F6" s="9" t="n">
        <v>930</v>
      </c>
      <c r="G6" s="10">
        <f>F6-E6</f>
        <v/>
      </c>
      <c r="H6" s="10">
        <f>ROUND((G6/F6)*100, 1)</f>
        <v/>
      </c>
      <c r="I6" s="8" t="inlineStr">
        <is>
          <t>TAT: 6 Hours</t>
        </is>
      </c>
      <c r="J6" s="9" t="n">
        <v>600</v>
      </c>
      <c r="K6" s="10">
        <f>ROUND((1-(J6/F6))*100, 1)</f>
        <v/>
      </c>
    </row>
    <row r="7" ht="20" customHeight="1">
      <c r="A7" s="4" t="inlineStr">
        <is>
          <t>panel-kft</t>
        </is>
      </c>
      <c r="B7" s="4" t="inlineStr">
        <is>
          <t>Renal Function &amp; Complete Electrolytes (KFT + Na, K, Cl, Mg)</t>
        </is>
      </c>
      <c r="C7" s="4" t="inlineStr">
        <is>
          <t>Biochemistry</t>
        </is>
      </c>
      <c r="D7" s="5" t="n">
        <v>9</v>
      </c>
      <c r="E7" s="5" t="n">
        <v>1000</v>
      </c>
      <c r="F7" s="5" t="n">
        <v>1550</v>
      </c>
      <c r="G7" s="6">
        <f>F7-E7</f>
        <v/>
      </c>
      <c r="H7" s="6">
        <f>ROUND((G7/F7)*100, 1)</f>
        <v/>
      </c>
      <c r="I7" s="4" t="inlineStr">
        <is>
          <t>TAT: 6 Hours</t>
        </is>
      </c>
      <c r="J7" s="5" t="n">
        <v>1000</v>
      </c>
      <c r="K7" s="6">
        <f>ROUND((1-(J7/F7))*100, 1)</f>
        <v/>
      </c>
    </row>
    <row r="8" ht="20" customHeight="1">
      <c r="A8" s="8" t="inlineStr">
        <is>
          <t>panel-lipid</t>
        </is>
      </c>
      <c r="B8" s="8" t="inlineStr">
        <is>
          <t>Lipid Profile &amp; ASCVD Cardiovascular Risk</t>
        </is>
      </c>
      <c r="C8" s="8" t="inlineStr">
        <is>
          <t>Biochemistry</t>
        </is>
      </c>
      <c r="D8" s="9" t="n">
        <v>10</v>
      </c>
      <c r="E8" s="9" t="n">
        <v>450</v>
      </c>
      <c r="F8" s="9" t="n">
        <v>700</v>
      </c>
      <c r="G8" s="10">
        <f>F8-E8</f>
        <v/>
      </c>
      <c r="H8" s="10">
        <f>ROUND((G8/F8)*100, 1)</f>
        <v/>
      </c>
      <c r="I8" s="8" t="inlineStr">
        <is>
          <t>TAT: 6 Hours</t>
        </is>
      </c>
      <c r="J8" s="9" t="n">
        <v>450</v>
      </c>
      <c r="K8" s="10">
        <f>ROUND((1-(J8/F8))*100, 1)</f>
        <v/>
      </c>
    </row>
    <row r="9" ht="20" customHeight="1">
      <c r="A9" s="4" t="inlineStr">
        <is>
          <t>panel-diabetes</t>
        </is>
      </c>
      <c r="B9" s="4" t="inlineStr">
        <is>
          <t>Comprehensive Diabetic &amp; Glycemic Panel</t>
        </is>
      </c>
      <c r="C9" s="4" t="inlineStr">
        <is>
          <t>Biochemistry</t>
        </is>
      </c>
      <c r="D9" s="5" t="n">
        <v>4</v>
      </c>
      <c r="E9" s="5" t="n">
        <v>510</v>
      </c>
      <c r="F9" s="5" t="n">
        <v>790</v>
      </c>
      <c r="G9" s="6">
        <f>F9-E9</f>
        <v/>
      </c>
      <c r="H9" s="6">
        <f>ROUND((G9/F9)*100, 1)</f>
        <v/>
      </c>
      <c r="I9" s="4" t="inlineStr">
        <is>
          <t>TAT: 6 Hours</t>
        </is>
      </c>
      <c r="J9" s="5" t="n">
        <v>510</v>
      </c>
      <c r="K9" s="6">
        <f>ROUND((1-(J9/F9))*100, 1)</f>
        <v/>
      </c>
    </row>
    <row r="10" ht="20" customHeight="1">
      <c r="A10" s="8" t="inlineStr">
        <is>
          <t>panel-thyroid</t>
        </is>
      </c>
      <c r="B10" s="8" t="inlineStr">
        <is>
          <t>Thyroid Profile (Total &amp; Free TFT)</t>
        </is>
      </c>
      <c r="C10" s="8" t="inlineStr">
        <is>
          <t>Endocrinology</t>
        </is>
      </c>
      <c r="D10" s="9" t="n">
        <v>5</v>
      </c>
      <c r="E10" s="9" t="n">
        <v>750</v>
      </c>
      <c r="F10" s="9" t="n">
        <v>1160</v>
      </c>
      <c r="G10" s="10">
        <f>F10-E10</f>
        <v/>
      </c>
      <c r="H10" s="10">
        <f>ROUND((G10/F10)*100, 1)</f>
        <v/>
      </c>
      <c r="I10" s="8" t="inlineStr">
        <is>
          <t>TAT: 12 Hours</t>
        </is>
      </c>
      <c r="J10" s="9" t="n">
        <v>750</v>
      </c>
      <c r="K10" s="10">
        <f>ROUND((1-(J10/F10))*100, 1)</f>
        <v/>
      </c>
    </row>
    <row r="11" ht="20" customHeight="1">
      <c r="A11" s="4" t="inlineStr">
        <is>
          <t>panel-vitamins-bone</t>
        </is>
      </c>
      <c r="B11" s="4" t="inlineStr">
        <is>
          <t>Vital Vitamins &amp; Deep Iron Panel (D3, B12, Ferritin, Iron)</t>
        </is>
      </c>
      <c r="C11" s="4" t="inlineStr">
        <is>
          <t>Endocrinology</t>
        </is>
      </c>
      <c r="D11" s="5" t="n">
        <v>4</v>
      </c>
      <c r="E11" s="5" t="n">
        <v>2400</v>
      </c>
      <c r="F11" s="5" t="n">
        <v>3720</v>
      </c>
      <c r="G11" s="6">
        <f>F11-E11</f>
        <v/>
      </c>
      <c r="H11" s="6">
        <f>ROUND((G11/F11)*100, 1)</f>
        <v/>
      </c>
      <c r="I11" s="4" t="inlineStr">
        <is>
          <t>TAT: 16 Hours</t>
        </is>
      </c>
      <c r="J11" s="5" t="n">
        <v>2400</v>
      </c>
      <c r="K11" s="6">
        <f>ROUND((1-(J11/F11))*100, 1)</f>
        <v/>
      </c>
    </row>
    <row r="12" ht="20" customHeight="1">
      <c r="A12" s="8" t="inlineStr">
        <is>
          <t>panel-coagulation</t>
        </is>
      </c>
      <c r="B12" s="8" t="inlineStr">
        <is>
          <t>Coagulation &amp; Clotting Screen (PT/INR + aPTT)</t>
        </is>
      </c>
      <c r="C12" s="8" t="inlineStr">
        <is>
          <t>Hematology</t>
        </is>
      </c>
      <c r="D12" s="9" t="n">
        <v>3</v>
      </c>
      <c r="E12" s="9" t="n">
        <v>600</v>
      </c>
      <c r="F12" s="9" t="n">
        <v>930</v>
      </c>
      <c r="G12" s="10">
        <f>F12-E12</f>
        <v/>
      </c>
      <c r="H12" s="10">
        <f>ROUND((G12/F12)*100, 1)</f>
        <v/>
      </c>
      <c r="I12" s="8" t="inlineStr">
        <is>
          <t>TAT: 4 Hours</t>
        </is>
      </c>
      <c r="J12" s="9" t="n">
        <v>600</v>
      </c>
      <c r="K12" s="10">
        <f>ROUND((1-(J12/F12))*100, 1)</f>
        <v/>
      </c>
    </row>
    <row r="13" ht="20" customHeight="1">
      <c r="A13" s="4" t="inlineStr">
        <is>
          <t>panel-pcod</t>
        </is>
      </c>
      <c r="B13" s="4" t="inlineStr">
        <is>
          <t>Comprehensive PCOD / PCOS &amp; Female Hormone Panel</t>
        </is>
      </c>
      <c r="C13" s="4" t="inlineStr">
        <is>
          <t>Endocrinology</t>
        </is>
      </c>
      <c r="D13" s="5" t="n">
        <v>8</v>
      </c>
      <c r="E13" s="5" t="n">
        <v>3850</v>
      </c>
      <c r="F13" s="5" t="n">
        <v>5970</v>
      </c>
      <c r="G13" s="6">
        <f>F13-E13</f>
        <v/>
      </c>
      <c r="H13" s="6">
        <f>ROUND((G13/F13)*100, 1)</f>
        <v/>
      </c>
      <c r="I13" s="4" t="inlineStr">
        <is>
          <t>TAT: 12 Hours</t>
        </is>
      </c>
      <c r="J13" s="5" t="n">
        <v>3850</v>
      </c>
      <c r="K13" s="6">
        <f>ROUND((1-(J13/F13))*100, 1)</f>
        <v/>
      </c>
    </row>
    <row r="14" ht="20" customHeight="1">
      <c r="A14" s="8" t="inlineStr">
        <is>
          <t>panel-arthritis</t>
        </is>
      </c>
      <c r="B14" s="8" t="inlineStr">
        <is>
          <t>Arthritis &amp; Autoimmune Inflammation Screen (RA + CRP)</t>
        </is>
      </c>
      <c r="C14" s="8" t="inlineStr">
        <is>
          <t>Biochemistry</t>
        </is>
      </c>
      <c r="D14" s="9" t="n">
        <v>2</v>
      </c>
      <c r="E14" s="9" t="n">
        <v>1100</v>
      </c>
      <c r="F14" s="9" t="n">
        <v>1700</v>
      </c>
      <c r="G14" s="10">
        <f>F14-E14</f>
        <v/>
      </c>
      <c r="H14" s="10">
        <f>ROUND((G14/F14)*100, 1)</f>
        <v/>
      </c>
      <c r="I14" s="8" t="inlineStr">
        <is>
          <t>TAT: 6 Hours</t>
        </is>
      </c>
      <c r="J14" s="9" t="n">
        <v>1100</v>
      </c>
      <c r="K14" s="10">
        <f>ROUND((1-(J14/F14))*100, 1)</f>
        <v/>
      </c>
    </row>
    <row r="15" ht="20" customHeight="1">
      <c r="A15" s="4" t="inlineStr">
        <is>
          <t>panel-prostate-male</t>
        </is>
      </c>
      <c r="B15" s="4" t="inlineStr">
        <is>
          <t>Prostate Health &amp; Male Hormone Profile (PSA + Testosterone)</t>
        </is>
      </c>
      <c r="C15" s="4" t="inlineStr">
        <is>
          <t>Endocrinology</t>
        </is>
      </c>
      <c r="D15" s="5" t="n">
        <v>3</v>
      </c>
      <c r="E15" s="5" t="n">
        <v>1450</v>
      </c>
      <c r="F15" s="5" t="n">
        <v>2250</v>
      </c>
      <c r="G15" s="6">
        <f>F15-E15</f>
        <v/>
      </c>
      <c r="H15" s="6">
        <f>ROUND((G15/F15)*100, 1)</f>
        <v/>
      </c>
      <c r="I15" s="4" t="inlineStr">
        <is>
          <t>TAT: 12 Hours</t>
        </is>
      </c>
      <c r="J15" s="5" t="n">
        <v>1450</v>
      </c>
      <c r="K15" s="6">
        <f>ROUND((1-(J15/F15))*100, 1)</f>
        <v/>
      </c>
    </row>
    <row r="16" ht="20" customHeight="1">
      <c r="A16" s="8" t="inlineStr">
        <is>
          <t>panel-growth-pituitary</t>
        </is>
      </c>
      <c r="B16" s="8" t="inlineStr">
        <is>
          <t>Growth Hormone &amp; Pituitary Profile (GH + Prolactin)</t>
        </is>
      </c>
      <c r="C16" s="8" t="inlineStr">
        <is>
          <t>Endocrinology</t>
        </is>
      </c>
      <c r="D16" s="9" t="n">
        <v>3</v>
      </c>
      <c r="E16" s="9" t="n">
        <v>1350</v>
      </c>
      <c r="F16" s="9" t="n">
        <v>2090</v>
      </c>
      <c r="G16" s="10">
        <f>F16-E16</f>
        <v/>
      </c>
      <c r="H16" s="10">
        <f>ROUND((G16/F16)*100, 1)</f>
        <v/>
      </c>
      <c r="I16" s="8" t="inlineStr">
        <is>
          <t>TAT: 12 Hours</t>
        </is>
      </c>
      <c r="J16" s="9" t="n">
        <v>1350</v>
      </c>
      <c r="K16" s="10">
        <f>ROUND((1-(J16/F16))*100, 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81" customWidth="1" min="2" max="2"/>
    <col width="34" customWidth="1" min="3" max="3"/>
    <col width="39" customWidth="1" min="4" max="4"/>
    <col width="34" customWidth="1" min="5" max="5"/>
    <col width="68" customWidth="1" min="6" max="6"/>
  </cols>
  <sheetData>
    <row r="1" ht="24" customHeight="1">
      <c r="A1" s="1" t="inlineStr">
        <is>
          <t>CHARKHI DADRI DISTRICT &amp; RURAL VILLAGE CATCHMENT DIRECTORY</t>
        </is>
      </c>
    </row>
    <row r="2" ht="18" customHeight="1">
      <c r="A2" s="2" t="inlineStr">
        <is>
          <t>Home Sample Collection Service Radius &amp; Localized Health Camp Pricing</t>
        </is>
      </c>
    </row>
    <row r="3"/>
    <row r="4" ht="28" customHeight="1">
      <c r="A4" s="13" t="inlineStr">
        <is>
          <t>Sub-District / Block</t>
        </is>
      </c>
      <c r="B4" s="13" t="inlineStr">
        <is>
          <t>Key Catchment Villages &amp; Towns</t>
        </is>
      </c>
      <c r="C4" s="13" t="inlineStr">
        <is>
          <t>Distance from Central Lab (km)</t>
        </is>
      </c>
      <c r="D4" s="13" t="inlineStr">
        <is>
          <t>Home Collection Slot Availability</t>
        </is>
      </c>
      <c r="E4" s="13" t="inlineStr">
        <is>
          <t>Recommended Camp Package (₹)</t>
        </is>
      </c>
      <c r="F4" s="13" t="inlineStr">
        <is>
          <t>Local Economic &amp; Market Profile</t>
        </is>
      </c>
    </row>
    <row r="5" ht="20" customHeight="1">
      <c r="A5" s="4" t="inlineStr">
        <is>
          <t>Charkhi Dadri City &amp; Immediate</t>
        </is>
      </c>
      <c r="B5" s="4" t="inlineStr">
        <is>
          <t>Loharu Road, Civil Hospital Area, Delhi Road, Ram Nagar, Subhash Chowk</t>
        </is>
      </c>
      <c r="C5" s="4" t="inlineStr">
        <is>
          <t>0–3 km</t>
        </is>
      </c>
      <c r="D5" s="4" t="inlineStr">
        <is>
          <t>07:00 AM – 07:00 PM (Instant)</t>
        </is>
      </c>
      <c r="E5" s="4" t="inlineStr">
        <is>
          <t>₹450 CBC+Sugar+Thyroid</t>
        </is>
      </c>
      <c r="F5" s="4" t="inlineStr">
        <is>
          <t>High density, walk-in hospital referral catchment</t>
        </is>
      </c>
    </row>
    <row r="6" ht="20" customHeight="1">
      <c r="A6" s="8" t="inlineStr">
        <is>
          <t>Badhra Tehsil</t>
        </is>
      </c>
      <c r="B6" s="8" t="inlineStr">
        <is>
          <t>Badhra, Bhandwa, Berla, Kari Mod, Chandwas, Hansawas Kalan, Kubha Nagar</t>
        </is>
      </c>
      <c r="C6" s="8" t="inlineStr">
        <is>
          <t>15–28 km</t>
        </is>
      </c>
      <c r="D6" s="8" t="inlineStr">
        <is>
          <t>Morning Route (07:30 AM – 10:30 AM)</t>
        </is>
      </c>
      <c r="E6" s="8" t="inlineStr">
        <is>
          <t>₹600 Complete Hemogram + LFT</t>
        </is>
      </c>
      <c r="F6" s="8" t="inlineStr">
        <is>
          <t>Agricultural hub, high demand for diabetes &amp; joint pain packages</t>
        </is>
      </c>
    </row>
    <row r="7" ht="20" customHeight="1">
      <c r="A7" s="4" t="inlineStr">
        <is>
          <t>Jhojhu Kalan Sub-Tehsil</t>
        </is>
      </c>
      <c r="B7" s="4" t="inlineStr">
        <is>
          <t>Jhojhu Kalan, Jhojhu Khurd, Tiwala, Atela Khurd, Atela Kalan, Chandeni, Kadma</t>
        </is>
      </c>
      <c r="C7" s="4" t="inlineStr">
        <is>
          <t>10–22 km</t>
        </is>
      </c>
      <c r="D7" s="4" t="inlineStr">
        <is>
          <t>Morning Route (07:00 AM – 10:00 AM)</t>
        </is>
      </c>
      <c r="E7" s="4" t="inlineStr">
        <is>
          <t>₹550 Kidney &amp; Lipid Profile</t>
        </is>
      </c>
      <c r="F7" s="4" t="inlineStr">
        <is>
          <t>Loharu road corridor, active defense personnel &amp; elderly care</t>
        </is>
      </c>
    </row>
    <row r="8" ht="20" customHeight="1">
      <c r="A8" s="8" t="inlineStr">
        <is>
          <t>Bond Kalan Sub-Tehsil</t>
        </is>
      </c>
      <c r="B8" s="8" t="inlineStr">
        <is>
          <t>Bond Kalan, Bond Khurd, Ranila, Sanjarwas, Missri, Asawari, Rankoli</t>
        </is>
      </c>
      <c r="C8" s="8" t="inlineStr">
        <is>
          <t>12–25 km</t>
        </is>
      </c>
      <c r="D8" s="8" t="inlineStr">
        <is>
          <t>Morning &amp; Afternoon Route</t>
        </is>
      </c>
      <c r="E8" s="8" t="inlineStr">
        <is>
          <t>₹650 Senior Citizen Baseline</t>
        </is>
      </c>
      <c r="F8" s="8" t="inlineStr">
        <is>
          <t>Rohtak-Delhi bypass corridor, high heart &amp; cholesterol screening</t>
        </is>
      </c>
    </row>
    <row r="9" ht="20" customHeight="1">
      <c r="A9" s="4" t="inlineStr">
        <is>
          <t>Bhiwani Road Sector</t>
        </is>
      </c>
      <c r="B9" s="4" t="inlineStr">
        <is>
          <t>Rawaldhi, Imlota, Morwala, Charkhi, Samaspur, Mehrana, Dudiwala</t>
        </is>
      </c>
      <c r="C9" s="4" t="inlineStr">
        <is>
          <t>5–18 km</t>
        </is>
      </c>
      <c r="D9" s="4" t="inlineStr">
        <is>
          <t>07:00 AM – 01:00 PM</t>
        </is>
      </c>
      <c r="E9" s="4" t="inlineStr">
        <is>
          <t>₹450 Fever &amp; Typhoid Profile</t>
        </is>
      </c>
      <c r="F9" s="4" t="inlineStr">
        <is>
          <t>Dense rural connectivity, seasonal viral &amp; Dengue testing</t>
        </is>
      </c>
    </row>
    <row r="10" ht="20" customHeight="1">
      <c r="A10" s="8" t="inlineStr">
        <is>
          <t>Narnaul-Kanina Sector</t>
        </is>
      </c>
      <c r="B10" s="8" t="inlineStr">
        <is>
          <t>Mandola, Manheru, Paintawas Kalan, Paintawas Khurd, Khatiwas, Balali</t>
        </is>
      </c>
      <c r="C10" s="8" t="inlineStr">
        <is>
          <t>8–20 km</t>
        </is>
      </c>
      <c r="D10" s="8" t="inlineStr">
        <is>
          <t>Morning Route (08:00 AM – 11:30 AM)</t>
        </is>
      </c>
      <c r="E10" s="8" t="inlineStr">
        <is>
          <t>₹700 Complete Vitality Profile</t>
        </is>
      </c>
      <c r="F10" s="8" t="inlineStr">
        <is>
          <t>Sports &amp; wrestling youth belt, Vitamin D3, B12 &amp; Calcium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2026-10-20T09:49:35Z</dcterms:created>
  <dcterms:modified xmlns:dcterms="http://purl.org/dc/terms/" xmlns:xsi="http://www.w3.org/2001/XMLSchema-instance" xsi:type="dcterms:W3CDTF">2026-10-20T09:49:36Z</dcterms:modified>
</cp:coreProperties>
</file>